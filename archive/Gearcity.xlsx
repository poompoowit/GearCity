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hicle class" sheetId="1" r:id="rId5"/>
    <sheet state="hidden" name="Sheet15" sheetId="2" r:id="rId6"/>
    <sheet state="visible" name="Chassic_Design" sheetId="3" r:id="rId7"/>
    <sheet state="visible" name="Engine_Design" sheetId="4" r:id="rId8"/>
    <sheet state="visible" name="Gearbox_Design" sheetId="5" r:id="rId9"/>
    <sheet state="visible" name="Important" sheetId="6" r:id="rId10"/>
    <sheet state="hidden" name="Bore storke Cal" sheetId="7" r:id="rId11"/>
    <sheet state="hidden" name="engine_size" sheetId="8" r:id="rId12"/>
    <sheet state="hidden" name="Engine_Layouts" sheetId="9" r:id="rId13"/>
    <sheet state="hidden" name="Engine_Cylinders" sheetId="10" r:id="rId14"/>
    <sheet state="hidden" name="Engine_Fuel" sheetId="11" r:id="rId15"/>
    <sheet state="hidden" name="Engine_Valvetrain" sheetId="12" r:id="rId16"/>
    <sheet state="hidden" name="Engine_Induction" sheetId="13" r:id="rId17"/>
  </sheets>
  <definedNames>
    <definedName hidden="1" localSheetId="0" name="_xlnm._FilterDatabase">'Vehicle class'!$A$1:$AB$31</definedName>
    <definedName hidden="1" localSheetId="5" name="_xlnm._FilterDatabase">Important!$A$1:$Z$31</definedName>
  </definedNames>
  <calcPr/>
</workbook>
</file>

<file path=xl/sharedStrings.xml><?xml version="1.0" encoding="utf-8"?>
<sst xmlns="http://schemas.openxmlformats.org/spreadsheetml/2006/main" count="1370" uniqueCount="305">
  <si>
    <t>Design</t>
  </si>
  <si>
    <t>groups_layout.append(lay_row[['Length','Width','Power','Costs','Weight','Cylinder Arrangement','Name']])</t>
  </si>
  <si>
    <t>Car type</t>
  </si>
  <si>
    <t>Type</t>
  </si>
  <si>
    <t>Chassic</t>
  </si>
  <si>
    <t>groups_cylinder.append(lay_row[['Power','Number of Cylinders','Cost','Weight','Name']])</t>
  </si>
  <si>
    <t>Balance</t>
  </si>
  <si>
    <t>Engine type</t>
  </si>
  <si>
    <t>groups_fuel.append(lay_row[['RPM','Power','Cost','Weight','Name']])</t>
  </si>
  <si>
    <t>SmallB</t>
  </si>
  <si>
    <t>Gear</t>
  </si>
  <si>
    <t>groups_induction.append(lay_row[['Power','Cost','Weight','Name']])</t>
  </si>
  <si>
    <t>Power</t>
  </si>
  <si>
    <t>Mil. Fleet</t>
  </si>
  <si>
    <t>groups_valve.append(lay_row[['RPM','Power','Costs','Weight','Size','Name']])</t>
  </si>
  <si>
    <t>Civ. Fleet</t>
  </si>
  <si>
    <t>Sport</t>
  </si>
  <si>
    <t>Truck</t>
  </si>
  <si>
    <t>Race</t>
  </si>
  <si>
    <t>Low Funding</t>
  </si>
  <si>
    <t>Drive</t>
  </si>
  <si>
    <t>High Funding</t>
  </si>
  <si>
    <t>CLux</t>
  </si>
  <si>
    <t>Group</t>
  </si>
  <si>
    <t>Lux</t>
  </si>
  <si>
    <t>Body Focus</t>
  </si>
  <si>
    <t>Demographic:Gender</t>
  </si>
  <si>
    <t>LuxTruck</t>
  </si>
  <si>
    <t>Demographic:Age</t>
  </si>
  <si>
    <t>Tiny</t>
  </si>
  <si>
    <t>SafLux</t>
  </si>
  <si>
    <t>Demographic:Wealth</t>
  </si>
  <si>
    <t>Impact</t>
  </si>
  <si>
    <t>Aiming mat cost</t>
  </si>
  <si>
    <t>Component score</t>
  </si>
  <si>
    <t>Problem</t>
  </si>
  <si>
    <t>Compact Car</t>
  </si>
  <si>
    <t>Concept</t>
  </si>
  <si>
    <t>Max engine</t>
  </si>
  <si>
    <t>Sport/Power</t>
  </si>
  <si>
    <t>Fuel</t>
  </si>
  <si>
    <t>Fuel saving, Balance</t>
  </si>
  <si>
    <t>Power/Truck</t>
  </si>
  <si>
    <t>Balance but small</t>
  </si>
  <si>
    <t>Balance, Higer power</t>
  </si>
  <si>
    <t>Power/LuxTruck</t>
  </si>
  <si>
    <t>Power/Truck/LuxTruck</t>
  </si>
  <si>
    <t>Perf rating</t>
  </si>
  <si>
    <t>High Torque</t>
  </si>
  <si>
    <t>Performance</t>
  </si>
  <si>
    <t>High HP</t>
  </si>
  <si>
    <t>Max</t>
  </si>
  <si>
    <t>High Torque but Lux / If Smoothness is too expensive for power model</t>
  </si>
  <si>
    <t>Smoothness Rating</t>
  </si>
  <si>
    <t xml:space="preserve">Luxury </t>
  </si>
  <si>
    <t>Small Cargo</t>
  </si>
  <si>
    <t>Lower-Middle</t>
  </si>
  <si>
    <t>Compact SUV</t>
  </si>
  <si>
    <t>Large Cargo</t>
  </si>
  <si>
    <t>Middle</t>
  </si>
  <si>
    <t>Compact Van</t>
  </si>
  <si>
    <t>SmallB/Balance</t>
  </si>
  <si>
    <t>Note</t>
  </si>
  <si>
    <t>Low Weight</t>
  </si>
  <si>
    <t>Large Safe</t>
  </si>
  <si>
    <t>Coupe</t>
  </si>
  <si>
    <t>Driveability</t>
  </si>
  <si>
    <t>Rating need</t>
  </si>
  <si>
    <t>Dependability</t>
  </si>
  <si>
    <t>Reliability Rating</t>
  </si>
  <si>
    <t>Perf rating (Driveability)</t>
  </si>
  <si>
    <t>High</t>
  </si>
  <si>
    <t>Highest</t>
  </si>
  <si>
    <t>Very High</t>
  </si>
  <si>
    <t>Very low</t>
  </si>
  <si>
    <t>Upper</t>
  </si>
  <si>
    <t>Low</t>
  </si>
  <si>
    <t>Coupe 2+2</t>
  </si>
  <si>
    <t>Mid</t>
  </si>
  <si>
    <t>Strength rating</t>
  </si>
  <si>
    <t>Safety</t>
  </si>
  <si>
    <t>Torque</t>
  </si>
  <si>
    <t>Strength rating 
(Safety+,Dependability)</t>
  </si>
  <si>
    <t>Mid +</t>
  </si>
  <si>
    <t>Comfort rating</t>
  </si>
  <si>
    <t>Upper-Middle</t>
  </si>
  <si>
    <t>Comfort rating (Luxury)</t>
  </si>
  <si>
    <t>Coupe Utility</t>
  </si>
  <si>
    <t>Minimum</t>
  </si>
  <si>
    <t>Low Mid</t>
  </si>
  <si>
    <t>Weight</t>
  </si>
  <si>
    <t>Durability rating</t>
  </si>
  <si>
    <t>Durability rating (Dependability)</t>
  </si>
  <si>
    <t>Crossover</t>
  </si>
  <si>
    <t>max_hp_torque_ratio</t>
  </si>
  <si>
    <t>N/A</t>
  </si>
  <si>
    <t>Design Dependablility</t>
  </si>
  <si>
    <t>Fastback</t>
  </si>
  <si>
    <t>Sport,Drive</t>
  </si>
  <si>
    <t>Sport,Power</t>
  </si>
  <si>
    <t>Frame</t>
  </si>
  <si>
    <t>1902 Ladder
1930 Unibody</t>
  </si>
  <si>
    <t>1902 Ladder
1924 Superleggera</t>
  </si>
  <si>
    <t>5000cc</t>
  </si>
  <si>
    <t>Performance Fuel</t>
  </si>
  <si>
    <t>Drivetrain</t>
  </si>
  <si>
    <t>Handling</t>
  </si>
  <si>
    <t>Full Sized Sedan</t>
  </si>
  <si>
    <t>F4
1940 RMR?</t>
  </si>
  <si>
    <t>3000cc</t>
  </si>
  <si>
    <t>F4
1945 M4?</t>
  </si>
  <si>
    <t>Algo I</t>
  </si>
  <si>
    <t>FR
1910 FMR
1940 RMR?</t>
  </si>
  <si>
    <t>FR
1910 FMR</t>
  </si>
  <si>
    <t>FR</t>
  </si>
  <si>
    <t>FR
1910 FMR
1940 RMR</t>
  </si>
  <si>
    <t>1902 FF</t>
  </si>
  <si>
    <t>Suspension</t>
  </si>
  <si>
    <t>Tech Component</t>
  </si>
  <si>
    <t>Hatchback</t>
  </si>
  <si>
    <t>1901 Swing Axle
1924 Wishbone
1988 MultiLink</t>
  </si>
  <si>
    <t>1901 Swing Axle
1924 Wishbone
1990 Magnetorheological</t>
  </si>
  <si>
    <t>Landaulet</t>
  </si>
  <si>
    <t>Balance/Power</t>
  </si>
  <si>
    <r>
      <rPr>
        <rFont val="Arial"/>
        <color theme="1"/>
      </rPr>
      <t xml:space="preserve">1901 Swing Axle
1915 Air
</t>
    </r>
    <r>
      <rPr>
        <rFont val="Arial"/>
        <strike/>
        <color theme="1"/>
      </rPr>
      <t>1944 Hydropneumatic</t>
    </r>
    <r>
      <rPr>
        <rFont val="Arial"/>
        <color theme="1"/>
      </rPr>
      <t xml:space="preserve">
1990 Magnetorheological</t>
    </r>
  </si>
  <si>
    <t>Leaf Spring</t>
  </si>
  <si>
    <r>
      <rPr>
        <rFont val="Arial"/>
        <color theme="1"/>
      </rPr>
      <t xml:space="preserve">1901 Swing Axle
1924 Wishbone
</t>
    </r>
    <r>
      <rPr>
        <rFont val="Arial"/>
        <strike/>
        <color theme="1"/>
      </rPr>
      <t>1939 MacPherson?</t>
    </r>
  </si>
  <si>
    <t>Ultra-Wealthy</t>
  </si>
  <si>
    <t>Limousine</t>
  </si>
  <si>
    <t>*Wishbone could replace with in MacPherson 1939 for cheaper cost</t>
  </si>
  <si>
    <t>2000cc</t>
  </si>
  <si>
    <t>Luxury Sedan</t>
  </si>
  <si>
    <t>Lux,CLux</t>
  </si>
  <si>
    <t>SportLux,Lux</t>
  </si>
  <si>
    <t>Tech Technology</t>
  </si>
  <si>
    <t>Wealthy</t>
  </si>
  <si>
    <t>Microcar</t>
  </si>
  <si>
    <t xml:space="preserve">   </t>
  </si>
  <si>
    <t>Microvan</t>
  </si>
  <si>
    <t>1600cc</t>
  </si>
  <si>
    <t>Tech Technique</t>
  </si>
  <si>
    <t>Minivan</t>
  </si>
  <si>
    <t>Balance &gt; SafLux</t>
  </si>
  <si>
    <t>SportLux</t>
  </si>
  <si>
    <t>Phaeton</t>
  </si>
  <si>
    <t>Cost 1932</t>
  </si>
  <si>
    <t>Pickup Truck</t>
  </si>
  <si>
    <t>Roadster</t>
  </si>
  <si>
    <t>Roadster 2+2</t>
  </si>
  <si>
    <t>Sedan</t>
  </si>
  <si>
    <t>Shooting Brake</t>
  </si>
  <si>
    <t>High Driveability</t>
  </si>
  <si>
    <t>High Luxury - Low Drive</t>
  </si>
  <si>
    <t>Sports</t>
  </si>
  <si>
    <t>Sport,Race</t>
  </si>
  <si>
    <t>Sport,Race50/100</t>
  </si>
  <si>
    <t>Cost 1944</t>
  </si>
  <si>
    <t>High torque - Low speed</t>
  </si>
  <si>
    <t>Balance - Medium Lux</t>
  </si>
  <si>
    <t>Aim for Fuel Saving VSmall</t>
  </si>
  <si>
    <t>Station Wagon</t>
  </si>
  <si>
    <t>Subcompact</t>
  </si>
  <si>
    <t>Max T from Engine</t>
  </si>
  <si>
    <t>Supercar</t>
  </si>
  <si>
    <t>SUV</t>
  </si>
  <si>
    <t>Lux/Truck</t>
  </si>
  <si>
    <t>Touring</t>
  </si>
  <si>
    <t>Town Car</t>
  </si>
  <si>
    <t>Comfort rating (Luxury,-Driveability)</t>
  </si>
  <si>
    <t>Van</t>
  </si>
  <si>
    <t>Perf rating (Performance)</t>
  </si>
  <si>
    <t>Vehicle Type</t>
  </si>
  <si>
    <t>Reliability rating</t>
  </si>
  <si>
    <t>Drivability</t>
  </si>
  <si>
    <t>Luxury</t>
  </si>
  <si>
    <t>Cargo</t>
  </si>
  <si>
    <t>Wealth Demo</t>
  </si>
  <si>
    <t>Compact Sport Utility</t>
  </si>
  <si>
    <t>Reliability rating (Dependability)</t>
  </si>
  <si>
    <t>Cost 1954</t>
  </si>
  <si>
    <t>Power rating</t>
  </si>
  <si>
    <t>Power rating (Power)</t>
  </si>
  <si>
    <t>Gearbox_type</t>
  </si>
  <si>
    <t>Smoothness</t>
  </si>
  <si>
    <t>Gearboxes</t>
  </si>
  <si>
    <t>1912 Manual
1950 DCT</t>
  </si>
  <si>
    <t>1912 Manual
1925 Automatic
1950 DCT</t>
  </si>
  <si>
    <t>1912 Manual
1925 Automatic</t>
  </si>
  <si>
    <t>1912 Manual</t>
  </si>
  <si>
    <t>1912 Manual
1925 Automatic?
1950 DCT</t>
  </si>
  <si>
    <r>
      <rPr>
        <rFont val="Arial"/>
        <color theme="1"/>
      </rPr>
      <t xml:space="preserve">1912 Manual
</t>
    </r>
    <r>
      <rPr>
        <rFont val="Arial"/>
        <strike/>
        <color theme="1"/>
      </rPr>
      <t>1950 DCT</t>
    </r>
  </si>
  <si>
    <t>* Fuel, Balance, Lux consider using Semi-Automatic after 1935</t>
  </si>
  <si>
    <t>Change to use Race for Premium Luxu Sedan</t>
  </si>
  <si>
    <t>Power/SafeLux</t>
  </si>
  <si>
    <t>Cost 200-300</t>
  </si>
  <si>
    <t>Balance/Power/LuxTruck</t>
  </si>
  <si>
    <t>Sport,Power,LuxTruck</t>
  </si>
  <si>
    <t>Balance &gt; Power</t>
  </si>
  <si>
    <t>Sport Utility Vehicle</t>
  </si>
  <si>
    <t>Name</t>
  </si>
  <si>
    <t>Width</t>
  </si>
  <si>
    <t>Length</t>
  </si>
  <si>
    <t>Slide_Bore</t>
  </si>
  <si>
    <t>Slide_Stroke</t>
  </si>
  <si>
    <t>Year</t>
  </si>
  <si>
    <t>Bore</t>
  </si>
  <si>
    <t>Stroke</t>
  </si>
  <si>
    <t>Min_Bore</t>
  </si>
  <si>
    <t>Max_Bore</t>
  </si>
  <si>
    <t>Min_Stroke</t>
  </si>
  <si>
    <t>Max_Stroke</t>
  </si>
  <si>
    <t>Electric</t>
  </si>
  <si>
    <t>V</t>
  </si>
  <si>
    <t>Flat</t>
  </si>
  <si>
    <t>I</t>
  </si>
  <si>
    <t>H</t>
  </si>
  <si>
    <t>U</t>
  </si>
  <si>
    <t>Radial</t>
  </si>
  <si>
    <t>Single</t>
  </si>
  <si>
    <t>Rotary</t>
  </si>
  <si>
    <t>W</t>
  </si>
  <si>
    <t>Steam</t>
  </si>
  <si>
    <t>X</t>
  </si>
  <si>
    <t>VV</t>
  </si>
  <si>
    <t>Wankel</t>
  </si>
  <si>
    <t>Design Costs</t>
  </si>
  <si>
    <t>Costs</t>
  </si>
  <si>
    <t>Design Requirements</t>
  </si>
  <si>
    <t>Manufacturing Requirements</t>
  </si>
  <si>
    <t>Reliability</t>
  </si>
  <si>
    <t>Smooth</t>
  </si>
  <si>
    <t>Finish</t>
  </si>
  <si>
    <t>Skill</t>
  </si>
  <si>
    <t>Cylinders</t>
  </si>
  <si>
    <t>Fuel Types</t>
  </si>
  <si>
    <t>Inductions</t>
  </si>
  <si>
    <t>Valve</t>
  </si>
  <si>
    <t>Cylinder Arrangement</t>
  </si>
  <si>
    <t>Turbine (Circular)</t>
  </si>
  <si>
    <t>["Electric"]</t>
  </si>
  <si>
    <t>[ "Electric I", "Electric II", "Electric III", "Electric IV", "Electric V" ]</t>
  </si>
  <si>
    <t>[]</t>
  </si>
  <si>
    <t>["2","4","6", "8","10","12"]</t>
  </si>
  <si>
    <t>[ "Two Stroke", "Gasoline", "Diesel", "Natural Gas", "Hybrid", "Hydrogen", "Autogas", "E85" ]</t>
  </si>
  <si>
    <t>[ "Naturally Aspirated", "Supercharger", "Turbocharger Stage I (Fuel Focused)", "Turbocharger Stage I (Power Focused)", "Turbocharger Stage II (Fuel Focused)", "Turbocharger Stage II (Power Focused)", "Turbocharger Stage III (Fuel Focused)", "Turbocharger Stage III (Power Focused)", "Turbocharger Stage IV (Fuel Focused)", "Turbocharger Stage IV (Power Focused)", "Twincharger", "Hybrid Turbocharger", "Variable Geometry Turbocharger", "Twin-Turbocharger", "Quad-Turbocharger" ]</t>
  </si>
  <si>
    <t>["4", "8", "12", "16"]</t>
  </si>
  <si>
    <t>["2","3","4", "5","6","8"]</t>
  </si>
  <si>
    <t>["3","5","7", "9","15"]</t>
  </si>
  <si>
    <t>["Cylinder"]</t>
  </si>
  <si>
    <t>["Steam"]</t>
  </si>
  <si>
    <t>["Water"]</t>
  </si>
  <si>
    <t>["4","6", "8","10","12"]</t>
  </si>
  <si>
    <t>["2","4","6", "8","10","12","16"]</t>
  </si>
  <si>
    <t>["8", "12", "16"]</t>
  </si>
  <si>
    <t>["3","6","9", "12","18"]</t>
  </si>
  <si>
    <t>["Wankel"]</t>
  </si>
  <si>
    <t>[ "Gasoline", "Diesel", "Natural Gas", "Hybrid", "Hydrogen", "Autogas" ]</t>
  </si>
  <si>
    <t>Cost</t>
  </si>
  <si>
    <t>Design Req.</t>
  </si>
  <si>
    <t>Manu. Req.</t>
  </si>
  <si>
    <t>Number of Cylinders</t>
  </si>
  <si>
    <t>Wankle</t>
  </si>
  <si>
    <t>Cylinder</t>
  </si>
  <si>
    <t>RPM</t>
  </si>
  <si>
    <t>Autogas</t>
  </si>
  <si>
    <t>Diesel</t>
  </si>
  <si>
    <t>E85</t>
  </si>
  <si>
    <t>Valve Type</t>
  </si>
  <si>
    <t>Electric I</t>
  </si>
  <si>
    <t>Size</t>
  </si>
  <si>
    <t>No Valve</t>
  </si>
  <si>
    <t>Electric II</t>
  </si>
  <si>
    <t>Hybrid Turbocharger</t>
  </si>
  <si>
    <t>DOHC</t>
  </si>
  <si>
    <t>Naturally Aspirated</t>
  </si>
  <si>
    <t>Electric III</t>
  </si>
  <si>
    <t>No Induction</t>
  </si>
  <si>
    <t>F Head</t>
  </si>
  <si>
    <t>Electric IV</t>
  </si>
  <si>
    <t>Quad-Turbocharger</t>
  </si>
  <si>
    <t>L Head</t>
  </si>
  <si>
    <t>Supercharger</t>
  </si>
  <si>
    <t>Electric V</t>
  </si>
  <si>
    <t>OHV</t>
  </si>
  <si>
    <t>Turbocharger Stage I (Fuel Focused)</t>
  </si>
  <si>
    <t>Gasoline</t>
  </si>
  <si>
    <t>Poppet Valve</t>
  </si>
  <si>
    <t>Turbocharger Stage I (Power Focused)</t>
  </si>
  <si>
    <t>SOHC</t>
  </si>
  <si>
    <t>Hybrid</t>
  </si>
  <si>
    <t>Turbocharger Stage II (Fuel Focused)</t>
  </si>
  <si>
    <t>Turbocharger Stage II (Power Focused)</t>
  </si>
  <si>
    <t>Sleeve Valve</t>
  </si>
  <si>
    <t>Hydrogen</t>
  </si>
  <si>
    <t>Turbocharger Stage III (Fuel Focused)</t>
  </si>
  <si>
    <t>T Head</t>
  </si>
  <si>
    <t>Natural Gas</t>
  </si>
  <si>
    <t>Turbocharger Stage III (Power Focused)</t>
  </si>
  <si>
    <t>Two Stroke</t>
  </si>
  <si>
    <t>Turbocharger Stage IV (Fuel Focused)</t>
  </si>
  <si>
    <t>Water</t>
  </si>
  <si>
    <t>Turbocharger Stage IV (Power Focused)</t>
  </si>
  <si>
    <t>Twin-Turbocharger</t>
  </si>
  <si>
    <t>Twincharger</t>
  </si>
  <si>
    <t>Variable Geometry Turbocharger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</si>
</sst>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1.0"/>
      <color rgb="FF116644"/>
      <name val="Arial"/>
    </font>
    <font>
      <color rgb="FF000000"/>
      <name val="Arial"/>
    </font>
    <font>
      <strike/>
      <color theme="1"/>
      <name val="Arial"/>
      <scheme val="minor"/>
    </font>
    <font>
      <b/>
      <sz val="11.0"/>
      <color rgb="FF333333"/>
      <name val="Arial"/>
    </font>
    <font>
      <sz val="11.0"/>
      <color rgb="FF333333"/>
      <name val="Arial"/>
    </font>
    <font>
      <color theme="1"/>
      <name val="Arial"/>
    </font>
  </fonts>
  <fills count="15">
    <fill>
      <patternFill patternType="none"/>
    </fill>
    <fill>
      <patternFill patternType="lightGray"/>
    </fill>
    <fill>
      <patternFill patternType="solid">
        <fgColor rgb="FFA2C4C9"/>
        <bgColor rgb="FFA2C4C9"/>
      </patternFill>
    </fill>
    <fill>
      <patternFill patternType="solid">
        <fgColor rgb="FFF7F7F7"/>
        <bgColor rgb="FFF7F7F7"/>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
      <patternFill patternType="solid">
        <fgColor rgb="FFC9DAF8"/>
        <bgColor rgb="FFC9DAF8"/>
      </patternFill>
    </fill>
    <fill>
      <patternFill patternType="solid">
        <fgColor rgb="FFF4CCCC"/>
        <bgColor rgb="FFF4CCCC"/>
      </patternFill>
    </fill>
    <fill>
      <patternFill patternType="solid">
        <fgColor rgb="FFEEEEEE"/>
        <bgColor rgb="FFEEEEEE"/>
      </patternFill>
    </fill>
    <fill>
      <patternFill patternType="solid">
        <fgColor rgb="FFD3D3D3"/>
        <bgColor rgb="FFD3D3D3"/>
      </patternFill>
    </fill>
    <fill>
      <patternFill patternType="solid">
        <fgColor rgb="FFDCDCDC"/>
        <bgColor rgb="FFDCDCDC"/>
      </patternFill>
    </fill>
    <fill>
      <patternFill patternType="solid">
        <fgColor rgb="FFFFE599"/>
        <bgColor rgb="FFFFE599"/>
      </patternFill>
    </fill>
    <fill>
      <patternFill patternType="solid">
        <fgColor rgb="FFF6B26B"/>
        <bgColor rgb="FFF6B26B"/>
      </patternFill>
    </fill>
    <fill>
      <patternFill patternType="solid">
        <fgColor rgb="FFCCCCCC"/>
        <bgColor rgb="FFCCCCCC"/>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2" numFmtId="0" xfId="0" applyAlignment="1" applyFill="1" applyFont="1">
      <alignment readingOrder="0"/>
    </xf>
    <xf borderId="0" fillId="0" fontId="1" numFmtId="49" xfId="0" applyAlignment="1" applyFont="1" applyNumberFormat="1">
      <alignment readingOrder="0"/>
    </xf>
    <xf borderId="0" fillId="0" fontId="1" numFmtId="0" xfId="0" applyAlignment="1" applyFont="1">
      <alignment readingOrder="0" shrinkToFit="0" wrapText="1"/>
    </xf>
    <xf borderId="0" fillId="4" fontId="1" numFmtId="0" xfId="0" applyAlignment="1" applyFill="1" applyFont="1">
      <alignment readingOrder="0"/>
    </xf>
    <xf borderId="0" fillId="5" fontId="3" numFmtId="0" xfId="0" applyAlignment="1" applyFill="1" applyFont="1">
      <alignment horizontal="left" readingOrder="0"/>
    </xf>
    <xf borderId="0" fillId="6" fontId="3" numFmtId="0" xfId="0" applyAlignment="1" applyFill="1" applyFont="1">
      <alignment horizontal="left" readingOrder="0"/>
    </xf>
    <xf borderId="0" fillId="6" fontId="1" numFmtId="0" xfId="0" applyAlignment="1" applyFill="1" applyFont="1">
      <alignment readingOrder="0"/>
    </xf>
    <xf borderId="0" fillId="0" fontId="1" numFmtId="0" xfId="0" applyFont="1"/>
    <xf borderId="0" fillId="0" fontId="1" numFmtId="49" xfId="0" applyFont="1" applyNumberFormat="1"/>
    <xf borderId="0" fillId="4" fontId="1" numFmtId="0" xfId="0" applyFill="1" applyFont="1"/>
    <xf borderId="0" fillId="6" fontId="1" numFmtId="0" xfId="0" applyFill="1" applyFont="1"/>
    <xf borderId="0" fillId="7" fontId="1" numFmtId="0" xfId="0" applyAlignment="1" applyFill="1" applyFont="1">
      <alignment readingOrder="0"/>
    </xf>
    <xf borderId="0" fillId="2" fontId="3" numFmtId="0" xfId="0" applyAlignment="1" applyFill="1" applyFont="1">
      <alignment horizontal="left" readingOrder="0"/>
    </xf>
    <xf borderId="0" fillId="8" fontId="4" numFmtId="0" xfId="0" applyAlignment="1" applyFill="1" applyFont="1">
      <alignment readingOrder="0"/>
    </xf>
    <xf borderId="0" fillId="2" fontId="1" numFmtId="0" xfId="0" applyAlignment="1" applyFill="1" applyFont="1">
      <alignment readingOrder="0" shrinkToFit="0" wrapText="1"/>
    </xf>
    <xf borderId="0" fillId="9" fontId="5" numFmtId="0" xfId="0" applyAlignment="1" applyFill="1" applyFont="1">
      <alignment horizontal="left" readingOrder="0" vertical="top"/>
    </xf>
    <xf borderId="0" fillId="10" fontId="6" numFmtId="0" xfId="0" applyAlignment="1" applyFill="1" applyFont="1">
      <alignment readingOrder="0" vertical="top"/>
    </xf>
    <xf borderId="0" fillId="11" fontId="6" numFmtId="0" xfId="0" applyAlignment="1" applyFill="1" applyFont="1">
      <alignment readingOrder="0" vertical="top"/>
    </xf>
    <xf borderId="0" fillId="0" fontId="1" numFmtId="0" xfId="0" applyAlignment="1" applyFont="1">
      <alignment shrinkToFit="0" wrapText="1"/>
    </xf>
    <xf borderId="0" fillId="10" fontId="6" numFmtId="0" xfId="0" applyAlignment="1" applyFill="1" applyFont="1">
      <alignment horizontal="left" readingOrder="0" vertical="top"/>
    </xf>
    <xf borderId="0" fillId="0" fontId="7" numFmtId="0" xfId="0" applyAlignment="1" applyFont="1">
      <alignment horizontal="right" vertical="bottom"/>
    </xf>
    <xf borderId="0" fillId="0" fontId="7" numFmtId="0" xfId="0" applyAlignment="1" applyFont="1">
      <alignment horizontal="right" readingOrder="0" vertical="bottom"/>
    </xf>
    <xf borderId="0" fillId="11" fontId="6" numFmtId="0" xfId="0" applyAlignment="1" applyFill="1" applyFont="1">
      <alignment readingOrder="0"/>
    </xf>
    <xf borderId="0" fillId="9" fontId="6" numFmtId="0" xfId="0" applyAlignment="1" applyFill="1" applyFont="1">
      <alignment readingOrder="0" vertical="top"/>
    </xf>
    <xf borderId="0" fillId="12" fontId="6" numFmtId="0" xfId="0" applyAlignment="1" applyFill="1" applyFont="1">
      <alignment readingOrder="0" vertical="top"/>
    </xf>
    <xf borderId="0" fillId="13" fontId="6" numFmtId="0" xfId="0" applyAlignment="1" applyFill="1" applyFont="1">
      <alignment readingOrder="0"/>
    </xf>
    <xf borderId="0" fillId="13" fontId="1" numFmtId="0" xfId="0" applyAlignment="1" applyFill="1" applyFont="1">
      <alignment readingOrder="0"/>
    </xf>
    <xf borderId="0" fillId="12" fontId="6" numFmtId="0" xfId="0" applyAlignment="1" applyFill="1" applyFont="1">
      <alignment readingOrder="0"/>
    </xf>
    <xf borderId="0" fillId="14" fontId="5" numFmtId="0" xfId="0" applyAlignment="1" applyFill="1" applyFont="1">
      <alignment horizontal="left" readingOrder="0" vertical="top"/>
    </xf>
    <xf borderId="0" fillId="0" fontId="6" numFmtId="0" xfId="0" applyAlignment="1" applyFont="1">
      <alignment readingOrder="0" vertical="top"/>
    </xf>
    <xf borderId="0" fillId="10" fontId="6" numFmtId="0" xfId="0" applyAlignment="1" applyFill="1" applyFont="1">
      <alignment horizontal="left" readingOrder="0"/>
    </xf>
    <xf borderId="0" fillId="11" fontId="6" numFmtId="0" xfId="0" applyAlignment="1" applyFill="1" applyFont="1">
      <alignment horizontal="left" readingOrder="0"/>
    </xf>
    <xf borderId="0" fillId="14" fontId="5" numFmtId="0" xfId="0" applyAlignment="1" applyFill="1" applyFont="1">
      <alignment horizontal="right" readingOrder="0" vertical="top"/>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4.13"/>
    <col customWidth="1" min="3" max="3" width="14.38"/>
    <col customWidth="1" min="5" max="5" width="10.63"/>
    <col customWidth="1" min="6" max="6" width="10.75"/>
    <col customWidth="1" hidden="1" min="11" max="11" width="20.5"/>
    <col customWidth="1" hidden="1" min="12" max="12" width="17.88"/>
    <col customWidth="1" hidden="1" min="13" max="13" width="20.13"/>
    <col customWidth="1" min="14" max="14" width="16.5"/>
  </cols>
  <sheetData>
    <row r="1">
      <c r="A1" s="1" t="s">
        <v>2</v>
      </c>
      <c r="B1" s="1" t="s">
        <v>4</v>
      </c>
      <c r="C1" s="1" t="s">
        <v>7</v>
      </c>
      <c r="D1" s="1" t="s">
        <v>10</v>
      </c>
      <c r="E1" s="1" t="s">
        <v>13</v>
      </c>
      <c r="F1" s="1" t="s">
        <v>15</v>
      </c>
      <c r="G1" s="1" t="s">
        <v>19</v>
      </c>
      <c r="H1" s="1" t="s">
        <v>21</v>
      </c>
      <c r="I1" s="4" t="s">
        <v>23</v>
      </c>
      <c r="J1" s="1" t="s">
        <v>25</v>
      </c>
      <c r="K1" s="1" t="s">
        <v>26</v>
      </c>
      <c r="L1" s="1" t="s">
        <v>28</v>
      </c>
      <c r="M1" s="1" t="s">
        <v>31</v>
      </c>
      <c r="N1" s="1" t="s">
        <v>33</v>
      </c>
      <c r="O1" s="1" t="s">
        <v>35</v>
      </c>
    </row>
    <row r="2">
      <c r="A2" s="1" t="s">
        <v>36</v>
      </c>
      <c r="B2" s="1" t="s">
        <v>6</v>
      </c>
      <c r="C2" s="1" t="s">
        <v>6</v>
      </c>
      <c r="D2" s="1" t="s">
        <v>40</v>
      </c>
      <c r="E2" s="10" t="b">
        <v>0</v>
      </c>
      <c r="F2" s="1" t="b">
        <v>1</v>
      </c>
      <c r="G2" s="10" t="b">
        <v>0</v>
      </c>
      <c r="H2" s="10" t="b">
        <v>0</v>
      </c>
      <c r="I2" s="11"/>
      <c r="J2" s="1" t="s">
        <v>55</v>
      </c>
      <c r="M2" s="1" t="s">
        <v>56</v>
      </c>
    </row>
    <row r="3">
      <c r="A3" s="1" t="s">
        <v>57</v>
      </c>
      <c r="B3" s="7" t="s">
        <v>20</v>
      </c>
      <c r="C3" s="7" t="s">
        <v>17</v>
      </c>
      <c r="D3" s="7" t="s">
        <v>20</v>
      </c>
      <c r="E3" s="1" t="b">
        <v>1</v>
      </c>
      <c r="F3" s="1" t="b">
        <v>1</v>
      </c>
      <c r="G3" s="10" t="b">
        <v>0</v>
      </c>
      <c r="H3" s="10" t="b">
        <v>0</v>
      </c>
      <c r="I3" s="11"/>
      <c r="J3" s="1" t="s">
        <v>58</v>
      </c>
      <c r="M3" s="1" t="s">
        <v>59</v>
      </c>
    </row>
    <row r="4">
      <c r="A4" s="1" t="s">
        <v>60</v>
      </c>
      <c r="B4" s="1" t="s">
        <v>29</v>
      </c>
      <c r="C4" s="1" t="s">
        <v>61</v>
      </c>
      <c r="D4" s="1" t="s">
        <v>6</v>
      </c>
      <c r="E4" s="10" t="b">
        <v>0</v>
      </c>
      <c r="F4" s="1" t="b">
        <v>1</v>
      </c>
      <c r="G4" s="10" t="b">
        <v>0</v>
      </c>
      <c r="H4" s="10" t="b">
        <v>0</v>
      </c>
      <c r="I4" s="11"/>
      <c r="J4" s="1" t="s">
        <v>58</v>
      </c>
      <c r="M4" s="1" t="s">
        <v>56</v>
      </c>
    </row>
    <row r="5">
      <c r="A5" s="1" t="s">
        <v>65</v>
      </c>
      <c r="B5" s="1" t="s">
        <v>16</v>
      </c>
      <c r="C5" s="1" t="s">
        <v>16</v>
      </c>
      <c r="D5" s="1" t="s">
        <v>16</v>
      </c>
      <c r="E5" s="10" t="b">
        <v>0</v>
      </c>
      <c r="F5" s="1" t="b">
        <v>1</v>
      </c>
      <c r="G5" s="1" t="b">
        <v>1</v>
      </c>
      <c r="H5" s="1" t="b">
        <v>1</v>
      </c>
      <c r="I5" s="4"/>
      <c r="J5" s="1" t="s">
        <v>55</v>
      </c>
      <c r="M5" s="1" t="s">
        <v>75</v>
      </c>
    </row>
    <row r="6">
      <c r="A6" s="14" t="s">
        <v>77</v>
      </c>
      <c r="B6" s="14" t="s">
        <v>16</v>
      </c>
      <c r="C6" s="14" t="s">
        <v>16</v>
      </c>
      <c r="D6" s="14" t="s">
        <v>16</v>
      </c>
      <c r="E6" s="10" t="b">
        <v>0</v>
      </c>
      <c r="F6" s="1" t="b">
        <v>1</v>
      </c>
      <c r="G6" s="1" t="b">
        <v>1</v>
      </c>
      <c r="H6" s="1" t="b">
        <v>1</v>
      </c>
      <c r="I6" s="4"/>
      <c r="J6" s="1" t="s">
        <v>55</v>
      </c>
      <c r="M6" s="1" t="s">
        <v>85</v>
      </c>
    </row>
    <row r="7">
      <c r="A7" s="1" t="s">
        <v>87</v>
      </c>
      <c r="B7" s="7" t="s">
        <v>20</v>
      </c>
      <c r="C7" s="7" t="s">
        <v>17</v>
      </c>
      <c r="D7" s="1" t="s">
        <v>17</v>
      </c>
      <c r="E7" s="10" t="b">
        <v>0</v>
      </c>
      <c r="F7" s="1" t="b">
        <v>1</v>
      </c>
      <c r="G7" s="10" t="b">
        <v>0</v>
      </c>
      <c r="H7" s="10" t="b">
        <v>0</v>
      </c>
      <c r="I7" s="11"/>
      <c r="J7" s="1" t="s">
        <v>58</v>
      </c>
      <c r="M7" s="1" t="s">
        <v>85</v>
      </c>
    </row>
    <row r="8">
      <c r="A8" s="1" t="s">
        <v>93</v>
      </c>
      <c r="B8" s="1" t="s">
        <v>6</v>
      </c>
      <c r="C8" s="1" t="s">
        <v>6</v>
      </c>
      <c r="D8" s="1" t="s">
        <v>24</v>
      </c>
      <c r="E8" s="10" t="b">
        <v>0</v>
      </c>
      <c r="F8" s="1" t="b">
        <v>1</v>
      </c>
      <c r="G8" s="10" t="b">
        <v>0</v>
      </c>
      <c r="H8" s="10" t="b">
        <v>0</v>
      </c>
      <c r="I8" s="11"/>
      <c r="J8" s="1" t="s">
        <v>58</v>
      </c>
      <c r="M8" s="1" t="s">
        <v>85</v>
      </c>
    </row>
    <row r="9">
      <c r="A9" s="1" t="s">
        <v>97</v>
      </c>
      <c r="B9" s="1" t="s">
        <v>98</v>
      </c>
      <c r="C9" s="1" t="s">
        <v>99</v>
      </c>
      <c r="D9" s="1" t="s">
        <v>98</v>
      </c>
      <c r="E9" s="10" t="b">
        <v>0</v>
      </c>
      <c r="F9" s="10" t="b">
        <v>0</v>
      </c>
      <c r="G9" s="1" t="b">
        <v>1</v>
      </c>
      <c r="H9" s="1" t="b">
        <v>1</v>
      </c>
      <c r="I9" s="4"/>
      <c r="J9" s="1" t="s">
        <v>55</v>
      </c>
      <c r="M9" s="1" t="s">
        <v>75</v>
      </c>
    </row>
    <row r="10">
      <c r="A10" s="1" t="s">
        <v>107</v>
      </c>
      <c r="B10" s="1" t="s">
        <v>30</v>
      </c>
      <c r="C10" s="1" t="s">
        <v>12</v>
      </c>
      <c r="D10" s="1" t="s">
        <v>24</v>
      </c>
      <c r="E10" s="10" t="b">
        <v>0</v>
      </c>
      <c r="F10" s="1" t="b">
        <v>1</v>
      </c>
      <c r="G10" s="10" t="b">
        <v>0</v>
      </c>
      <c r="H10" s="10" t="b">
        <v>0</v>
      </c>
      <c r="I10" s="11"/>
      <c r="J10" s="1" t="s">
        <v>58</v>
      </c>
      <c r="M10" s="1" t="s">
        <v>75</v>
      </c>
    </row>
    <row r="11">
      <c r="A11" s="1" t="s">
        <v>119</v>
      </c>
      <c r="B11" s="1" t="s">
        <v>6</v>
      </c>
      <c r="C11" s="1" t="s">
        <v>6</v>
      </c>
      <c r="D11" s="1" t="s">
        <v>6</v>
      </c>
      <c r="E11" s="10" t="b">
        <v>0</v>
      </c>
      <c r="F11" s="1" t="b">
        <v>1</v>
      </c>
      <c r="G11" s="10" t="b">
        <v>0</v>
      </c>
      <c r="H11" s="10" t="b">
        <v>0</v>
      </c>
      <c r="I11" s="11"/>
      <c r="J11" s="1" t="s">
        <v>6</v>
      </c>
      <c r="M11" s="1" t="s">
        <v>59</v>
      </c>
    </row>
    <row r="12">
      <c r="A12" s="1" t="s">
        <v>122</v>
      </c>
      <c r="B12" s="1" t="s">
        <v>22</v>
      </c>
      <c r="C12" s="1" t="s">
        <v>123</v>
      </c>
      <c r="D12" s="1" t="s">
        <v>24</v>
      </c>
      <c r="E12" s="10" t="b">
        <v>0</v>
      </c>
      <c r="F12" s="10" t="b">
        <v>0</v>
      </c>
      <c r="G12" s="1" t="b">
        <v>1</v>
      </c>
      <c r="H12" s="10" t="b">
        <v>0</v>
      </c>
      <c r="I12" s="4"/>
      <c r="J12" s="1" t="s">
        <v>58</v>
      </c>
      <c r="M12" s="1" t="s">
        <v>127</v>
      </c>
    </row>
    <row r="13">
      <c r="A13" s="1" t="s">
        <v>128</v>
      </c>
      <c r="B13" s="1" t="s">
        <v>22</v>
      </c>
      <c r="C13" s="1" t="s">
        <v>12</v>
      </c>
      <c r="D13" s="1" t="s">
        <v>24</v>
      </c>
      <c r="E13" s="10" t="b">
        <v>0</v>
      </c>
      <c r="F13" s="1" t="b">
        <v>1</v>
      </c>
      <c r="G13" s="1" t="b">
        <v>1</v>
      </c>
      <c r="H13" s="10" t="b">
        <v>0</v>
      </c>
      <c r="I13" s="4"/>
      <c r="J13" s="1" t="s">
        <v>58</v>
      </c>
      <c r="M13" s="1" t="s">
        <v>127</v>
      </c>
    </row>
    <row r="14">
      <c r="A14" s="14" t="s">
        <v>131</v>
      </c>
      <c r="B14" s="14" t="s">
        <v>132</v>
      </c>
      <c r="C14" s="14" t="s">
        <v>99</v>
      </c>
      <c r="D14" s="14" t="s">
        <v>133</v>
      </c>
      <c r="E14" s="10" t="b">
        <v>0</v>
      </c>
      <c r="F14" s="1" t="b">
        <v>1</v>
      </c>
      <c r="G14" s="1" t="b">
        <v>1</v>
      </c>
      <c r="H14" s="1" t="b">
        <v>1</v>
      </c>
      <c r="I14" s="4"/>
      <c r="J14" s="1" t="s">
        <v>58</v>
      </c>
      <c r="M14" s="1" t="s">
        <v>135</v>
      </c>
    </row>
    <row r="15">
      <c r="A15" s="1" t="s">
        <v>136</v>
      </c>
      <c r="B15" s="1" t="s">
        <v>29</v>
      </c>
      <c r="C15" s="7" t="s">
        <v>9</v>
      </c>
      <c r="D15" s="1" t="s">
        <v>40</v>
      </c>
      <c r="E15" s="10" t="b">
        <v>0</v>
      </c>
      <c r="F15" s="10" t="b">
        <v>0</v>
      </c>
      <c r="G15" s="10" t="b">
        <v>0</v>
      </c>
      <c r="H15" s="10" t="b">
        <v>0</v>
      </c>
      <c r="I15" s="11"/>
      <c r="J15" s="1" t="s">
        <v>55</v>
      </c>
      <c r="M15" s="1" t="s">
        <v>76</v>
      </c>
    </row>
    <row r="16">
      <c r="A16" s="1" t="s">
        <v>138</v>
      </c>
      <c r="B16" s="1" t="s">
        <v>29</v>
      </c>
      <c r="C16" s="1" t="s">
        <v>61</v>
      </c>
      <c r="D16" s="1" t="s">
        <v>6</v>
      </c>
      <c r="E16" s="10" t="b">
        <v>0</v>
      </c>
      <c r="F16" s="1" t="b">
        <v>1</v>
      </c>
      <c r="G16" s="10" t="b">
        <v>0</v>
      </c>
      <c r="H16" s="10" t="b">
        <v>0</v>
      </c>
      <c r="I16" s="11"/>
      <c r="J16" s="1" t="s">
        <v>58</v>
      </c>
      <c r="M16" s="1" t="s">
        <v>56</v>
      </c>
    </row>
    <row r="17">
      <c r="A17" s="1" t="s">
        <v>141</v>
      </c>
      <c r="B17" s="1" t="s">
        <v>142</v>
      </c>
      <c r="C17" s="1" t="s">
        <v>12</v>
      </c>
      <c r="D17" s="1" t="s">
        <v>24</v>
      </c>
      <c r="E17" s="10" t="b">
        <v>0</v>
      </c>
      <c r="F17" s="1" t="b">
        <v>1</v>
      </c>
      <c r="G17" s="10" t="b">
        <v>0</v>
      </c>
      <c r="H17" s="10" t="b">
        <v>0</v>
      </c>
      <c r="I17" s="11"/>
      <c r="J17" s="1" t="s">
        <v>58</v>
      </c>
      <c r="M17" s="1" t="s">
        <v>59</v>
      </c>
    </row>
    <row r="18">
      <c r="A18" s="1" t="s">
        <v>144</v>
      </c>
      <c r="B18" s="1" t="s">
        <v>29</v>
      </c>
      <c r="C18" s="1" t="s">
        <v>6</v>
      </c>
      <c r="D18" s="1" t="s">
        <v>40</v>
      </c>
      <c r="E18" s="10" t="b">
        <v>0</v>
      </c>
      <c r="F18" s="1" t="b">
        <v>1</v>
      </c>
      <c r="G18" s="10" t="b">
        <v>0</v>
      </c>
      <c r="H18" s="10" t="b">
        <v>0</v>
      </c>
      <c r="I18" s="11"/>
      <c r="J18" s="1" t="s">
        <v>55</v>
      </c>
      <c r="M18" s="1" t="s">
        <v>76</v>
      </c>
    </row>
    <row r="19">
      <c r="A19" s="1" t="s">
        <v>146</v>
      </c>
      <c r="B19" s="1" t="s">
        <v>17</v>
      </c>
      <c r="C19" s="1" t="s">
        <v>17</v>
      </c>
      <c r="D19" s="1" t="s">
        <v>17</v>
      </c>
      <c r="E19" s="1" t="b">
        <v>1</v>
      </c>
      <c r="F19" s="1" t="b">
        <v>1</v>
      </c>
      <c r="G19" s="10" t="b">
        <v>0</v>
      </c>
      <c r="H19" s="10" t="b">
        <v>0</v>
      </c>
      <c r="I19" s="11"/>
      <c r="J19" s="1" t="s">
        <v>58</v>
      </c>
      <c r="M19" s="1" t="s">
        <v>59</v>
      </c>
    </row>
    <row r="20">
      <c r="A20" s="1" t="s">
        <v>147</v>
      </c>
      <c r="B20" s="1" t="s">
        <v>16</v>
      </c>
      <c r="C20" s="1" t="s">
        <v>16</v>
      </c>
      <c r="D20" s="1" t="s">
        <v>16</v>
      </c>
      <c r="E20" s="10" t="b">
        <v>0</v>
      </c>
      <c r="F20" s="10" t="b">
        <v>0</v>
      </c>
      <c r="G20" s="1" t="b">
        <v>1</v>
      </c>
      <c r="H20" s="1" t="b">
        <v>1</v>
      </c>
      <c r="I20" s="4"/>
      <c r="J20" s="1" t="s">
        <v>55</v>
      </c>
      <c r="M20" s="1" t="s">
        <v>75</v>
      </c>
    </row>
    <row r="21">
      <c r="A21" s="1" t="s">
        <v>148</v>
      </c>
      <c r="B21" s="1" t="s">
        <v>16</v>
      </c>
      <c r="C21" s="1" t="s">
        <v>16</v>
      </c>
      <c r="D21" s="1" t="s">
        <v>16</v>
      </c>
      <c r="E21" s="10" t="b">
        <v>0</v>
      </c>
      <c r="F21" s="10" t="b">
        <v>0</v>
      </c>
      <c r="G21" s="1" t="b">
        <v>1</v>
      </c>
      <c r="H21" s="1" t="b">
        <v>1</v>
      </c>
      <c r="I21" s="4"/>
      <c r="J21" s="1" t="s">
        <v>55</v>
      </c>
      <c r="M21" s="1" t="s">
        <v>85</v>
      </c>
    </row>
    <row r="22">
      <c r="A22" s="14" t="s">
        <v>149</v>
      </c>
      <c r="B22" s="14" t="s">
        <v>6</v>
      </c>
      <c r="C22" s="14" t="s">
        <v>6</v>
      </c>
      <c r="D22" s="14" t="s">
        <v>6</v>
      </c>
      <c r="E22" s="10" t="b">
        <v>0</v>
      </c>
      <c r="F22" s="1" t="b">
        <v>1</v>
      </c>
      <c r="G22" s="10" t="b">
        <v>0</v>
      </c>
      <c r="H22" s="10" t="b">
        <v>0</v>
      </c>
      <c r="I22" s="11"/>
      <c r="J22" s="1" t="s">
        <v>6</v>
      </c>
      <c r="M22" s="1" t="s">
        <v>85</v>
      </c>
    </row>
    <row r="23">
      <c r="A23" s="1" t="s">
        <v>150</v>
      </c>
      <c r="B23" s="1" t="s">
        <v>30</v>
      </c>
      <c r="C23" s="7" t="s">
        <v>12</v>
      </c>
      <c r="D23" s="1" t="s">
        <v>24</v>
      </c>
      <c r="E23" s="10" t="b">
        <v>0</v>
      </c>
      <c r="F23" s="10" t="b">
        <v>0</v>
      </c>
      <c r="G23" s="10" t="b">
        <v>0</v>
      </c>
      <c r="H23" s="10" t="b">
        <v>0</v>
      </c>
      <c r="I23" s="11"/>
      <c r="J23" s="1" t="s">
        <v>58</v>
      </c>
      <c r="M23" s="1" t="s">
        <v>85</v>
      </c>
    </row>
    <row r="24">
      <c r="A24" s="14" t="s">
        <v>153</v>
      </c>
      <c r="B24" s="14" t="s">
        <v>154</v>
      </c>
      <c r="C24" s="14" t="s">
        <v>155</v>
      </c>
      <c r="D24" s="14" t="s">
        <v>154</v>
      </c>
      <c r="E24" s="1" t="b">
        <v>0</v>
      </c>
      <c r="F24" s="10" t="b">
        <v>0</v>
      </c>
      <c r="G24" s="1" t="b">
        <v>1</v>
      </c>
      <c r="H24" s="1" t="b">
        <v>1</v>
      </c>
      <c r="I24" s="4"/>
      <c r="J24" s="1" t="s">
        <v>55</v>
      </c>
      <c r="M24" s="1" t="s">
        <v>75</v>
      </c>
    </row>
    <row r="25">
      <c r="A25" s="1" t="s">
        <v>160</v>
      </c>
      <c r="B25" s="1" t="s">
        <v>30</v>
      </c>
      <c r="C25" s="1" t="s">
        <v>12</v>
      </c>
      <c r="D25" s="1" t="s">
        <v>24</v>
      </c>
      <c r="E25" s="1" t="b">
        <v>0</v>
      </c>
      <c r="F25" s="10" t="b">
        <v>0</v>
      </c>
      <c r="G25" s="10" t="b">
        <v>0</v>
      </c>
      <c r="H25" s="10" t="b">
        <v>0</v>
      </c>
      <c r="I25" s="11"/>
      <c r="J25" s="1" t="s">
        <v>58</v>
      </c>
      <c r="M25" s="1" t="s">
        <v>59</v>
      </c>
    </row>
    <row r="26">
      <c r="A26" s="1" t="s">
        <v>161</v>
      </c>
      <c r="B26" s="1" t="s">
        <v>6</v>
      </c>
      <c r="C26" s="1" t="s">
        <v>6</v>
      </c>
      <c r="D26" s="1" t="s">
        <v>40</v>
      </c>
      <c r="E26" s="10" t="b">
        <v>0</v>
      </c>
      <c r="F26" s="1" t="b">
        <v>1</v>
      </c>
      <c r="G26" s="10" t="b">
        <v>0</v>
      </c>
      <c r="H26" s="10" t="b">
        <v>0</v>
      </c>
      <c r="I26" s="11"/>
      <c r="J26" s="1" t="s">
        <v>55</v>
      </c>
      <c r="M26" s="1" t="s">
        <v>76</v>
      </c>
    </row>
    <row r="27">
      <c r="A27" s="1" t="s">
        <v>163</v>
      </c>
      <c r="B27" s="1" t="s">
        <v>18</v>
      </c>
      <c r="C27" s="1" t="s">
        <v>18</v>
      </c>
      <c r="D27" s="1" t="s">
        <v>18</v>
      </c>
      <c r="E27" s="10" t="b">
        <v>0</v>
      </c>
      <c r="F27" s="10" t="b">
        <v>0</v>
      </c>
      <c r="G27" s="10" t="b">
        <v>0</v>
      </c>
      <c r="H27" s="1" t="b">
        <v>1</v>
      </c>
      <c r="I27" s="4"/>
      <c r="J27" s="1" t="s">
        <v>55</v>
      </c>
      <c r="M27" s="1" t="s">
        <v>127</v>
      </c>
      <c r="N27" s="1" t="s">
        <v>95</v>
      </c>
    </row>
    <row r="28">
      <c r="A28" s="1" t="s">
        <v>164</v>
      </c>
      <c r="B28" s="1" t="s">
        <v>30</v>
      </c>
      <c r="C28" s="1" t="s">
        <v>17</v>
      </c>
      <c r="D28" s="1" t="s">
        <v>165</v>
      </c>
      <c r="E28" s="1" t="b">
        <v>1</v>
      </c>
      <c r="F28" s="1" t="b">
        <v>1</v>
      </c>
      <c r="G28" s="1" t="b">
        <v>0</v>
      </c>
      <c r="H28" s="10" t="b">
        <v>0</v>
      </c>
      <c r="I28" s="11"/>
      <c r="J28" s="1" t="s">
        <v>58</v>
      </c>
      <c r="M28" s="1" t="s">
        <v>59</v>
      </c>
    </row>
    <row r="29">
      <c r="A29" s="1" t="s">
        <v>166</v>
      </c>
      <c r="B29" s="7" t="s">
        <v>20</v>
      </c>
      <c r="C29" s="7" t="s">
        <v>12</v>
      </c>
      <c r="D29" s="1" t="s">
        <v>6</v>
      </c>
      <c r="E29" s="10" t="b">
        <v>0</v>
      </c>
      <c r="F29" s="10" t="b">
        <v>0</v>
      </c>
      <c r="G29" s="10" t="b">
        <v>0</v>
      </c>
      <c r="H29" s="10" t="b">
        <v>0</v>
      </c>
      <c r="I29" s="11"/>
      <c r="J29" s="1" t="s">
        <v>6</v>
      </c>
      <c r="M29" s="1" t="s">
        <v>59</v>
      </c>
    </row>
    <row r="30">
      <c r="A30" s="1" t="s">
        <v>167</v>
      </c>
      <c r="B30" s="1" t="s">
        <v>22</v>
      </c>
      <c r="C30" s="1" t="s">
        <v>6</v>
      </c>
      <c r="D30" s="1" t="s">
        <v>24</v>
      </c>
      <c r="E30" s="10" t="b">
        <v>0</v>
      </c>
      <c r="F30" s="10" t="b">
        <v>0</v>
      </c>
      <c r="G30" s="1" t="b">
        <v>1</v>
      </c>
      <c r="H30" s="10" t="b">
        <v>0</v>
      </c>
      <c r="I30" s="4"/>
      <c r="J30" s="1" t="s">
        <v>58</v>
      </c>
      <c r="M30" s="1" t="s">
        <v>75</v>
      </c>
    </row>
    <row r="31">
      <c r="A31" s="1" t="s">
        <v>169</v>
      </c>
      <c r="B31" s="1" t="s">
        <v>17</v>
      </c>
      <c r="C31" s="1" t="s">
        <v>17</v>
      </c>
      <c r="D31" s="1" t="s">
        <v>17</v>
      </c>
      <c r="E31" s="1" t="b">
        <v>1</v>
      </c>
      <c r="F31" s="1" t="b">
        <v>1</v>
      </c>
      <c r="G31" s="1" t="b">
        <v>1</v>
      </c>
      <c r="H31" s="10" t="b">
        <v>0</v>
      </c>
      <c r="I31" s="11"/>
      <c r="J31" s="1" t="s">
        <v>58</v>
      </c>
      <c r="M31" s="1" t="s">
        <v>59</v>
      </c>
    </row>
    <row r="32">
      <c r="I32" s="11"/>
    </row>
    <row r="33">
      <c r="I33" s="11"/>
    </row>
    <row r="34">
      <c r="I34" s="11"/>
    </row>
    <row r="35">
      <c r="I35" s="11"/>
    </row>
    <row r="36">
      <c r="I36" s="11"/>
    </row>
    <row r="37">
      <c r="I37" s="11"/>
    </row>
    <row r="38">
      <c r="I38" s="11"/>
    </row>
    <row r="39">
      <c r="I39" s="11"/>
    </row>
    <row r="40">
      <c r="I40" s="11"/>
    </row>
    <row r="41">
      <c r="I41" s="11"/>
    </row>
    <row r="42">
      <c r="I42" s="11"/>
    </row>
    <row r="43">
      <c r="I43" s="11"/>
    </row>
    <row r="44">
      <c r="I44" s="11"/>
    </row>
    <row r="45">
      <c r="I45" s="11"/>
    </row>
    <row r="46">
      <c r="I46" s="11"/>
    </row>
    <row r="47">
      <c r="I47" s="11"/>
    </row>
    <row r="48">
      <c r="I48" s="11"/>
    </row>
    <row r="49">
      <c r="I49" s="11"/>
    </row>
    <row r="50">
      <c r="I50" s="11"/>
    </row>
    <row r="51">
      <c r="I51" s="11"/>
    </row>
    <row r="52">
      <c r="I52" s="11"/>
    </row>
    <row r="53">
      <c r="I53" s="11"/>
    </row>
    <row r="54">
      <c r="I54" s="11"/>
    </row>
    <row r="55">
      <c r="I55" s="11"/>
    </row>
    <row r="56">
      <c r="I56" s="11"/>
    </row>
    <row r="57">
      <c r="I57" s="11"/>
    </row>
    <row r="58">
      <c r="I58" s="11"/>
    </row>
    <row r="59">
      <c r="I59" s="11"/>
    </row>
    <row r="60">
      <c r="I60" s="11"/>
    </row>
    <row r="61">
      <c r="I61" s="11"/>
    </row>
    <row r="62">
      <c r="I62" s="11"/>
    </row>
    <row r="63">
      <c r="I63" s="11"/>
    </row>
    <row r="64">
      <c r="I64" s="11"/>
    </row>
    <row r="65">
      <c r="I65" s="11"/>
    </row>
    <row r="66">
      <c r="I66" s="11"/>
    </row>
    <row r="67">
      <c r="I67" s="11"/>
    </row>
    <row r="68">
      <c r="I68" s="11"/>
    </row>
    <row r="69">
      <c r="I69" s="11"/>
    </row>
    <row r="70">
      <c r="I70" s="11"/>
    </row>
    <row r="71">
      <c r="I71" s="11"/>
    </row>
    <row r="72">
      <c r="I72" s="11"/>
    </row>
    <row r="73">
      <c r="I73" s="11"/>
    </row>
    <row r="74">
      <c r="I74" s="11"/>
    </row>
    <row r="75">
      <c r="I75" s="11"/>
    </row>
    <row r="76">
      <c r="I76" s="11"/>
    </row>
    <row r="77">
      <c r="I77" s="11"/>
    </row>
    <row r="78">
      <c r="I78" s="11"/>
    </row>
    <row r="79">
      <c r="I79" s="11"/>
    </row>
    <row r="80">
      <c r="I80" s="11"/>
    </row>
    <row r="81">
      <c r="I81" s="11"/>
    </row>
    <row r="82">
      <c r="I82" s="11"/>
    </row>
    <row r="83">
      <c r="I83" s="11"/>
    </row>
    <row r="84">
      <c r="I84" s="11"/>
    </row>
    <row r="85">
      <c r="I85" s="11"/>
    </row>
    <row r="86">
      <c r="I86" s="11"/>
    </row>
    <row r="87">
      <c r="I87" s="11"/>
    </row>
    <row r="88">
      <c r="I88" s="11"/>
    </row>
    <row r="89">
      <c r="I89" s="11"/>
    </row>
    <row r="90">
      <c r="I90" s="11"/>
    </row>
    <row r="91">
      <c r="I91" s="11"/>
    </row>
    <row r="92">
      <c r="I92" s="11"/>
    </row>
    <row r="93">
      <c r="I93" s="11"/>
    </row>
    <row r="94">
      <c r="I94" s="11"/>
    </row>
    <row r="95">
      <c r="I95" s="11"/>
    </row>
    <row r="96">
      <c r="I96" s="11"/>
    </row>
    <row r="97">
      <c r="I97" s="11"/>
    </row>
    <row r="98">
      <c r="I98" s="11"/>
    </row>
    <row r="99">
      <c r="I99" s="11"/>
    </row>
    <row r="100">
      <c r="I100" s="11"/>
    </row>
    <row r="101">
      <c r="I101" s="11"/>
    </row>
    <row r="102">
      <c r="I102" s="11"/>
    </row>
    <row r="103">
      <c r="I103" s="11"/>
    </row>
    <row r="104">
      <c r="I104" s="11"/>
    </row>
    <row r="105">
      <c r="I105" s="11"/>
    </row>
    <row r="106">
      <c r="I106" s="11"/>
    </row>
    <row r="107">
      <c r="I107" s="11"/>
    </row>
    <row r="108">
      <c r="I108" s="11"/>
    </row>
    <row r="109">
      <c r="I109" s="11"/>
    </row>
    <row r="110">
      <c r="I110" s="11"/>
    </row>
    <row r="111">
      <c r="I111" s="11"/>
    </row>
    <row r="112">
      <c r="I112" s="11"/>
    </row>
    <row r="113">
      <c r="I113" s="11"/>
    </row>
    <row r="114">
      <c r="I114" s="11"/>
    </row>
    <row r="115">
      <c r="I115" s="11"/>
    </row>
    <row r="116">
      <c r="I116" s="11"/>
    </row>
    <row r="117">
      <c r="I117" s="11"/>
    </row>
    <row r="118">
      <c r="I118" s="11"/>
    </row>
    <row r="119">
      <c r="I119" s="11"/>
    </row>
    <row r="120">
      <c r="I120" s="11"/>
    </row>
    <row r="121">
      <c r="I121" s="11"/>
    </row>
    <row r="122">
      <c r="I122" s="11"/>
    </row>
    <row r="123">
      <c r="I123" s="11"/>
    </row>
    <row r="124">
      <c r="I124" s="11"/>
    </row>
    <row r="125">
      <c r="I125" s="11"/>
    </row>
    <row r="126">
      <c r="I126" s="11"/>
    </row>
    <row r="127">
      <c r="I127" s="11"/>
    </row>
    <row r="128">
      <c r="I128" s="11"/>
    </row>
    <row r="129">
      <c r="I129" s="11"/>
    </row>
    <row r="130">
      <c r="I130" s="11"/>
    </row>
    <row r="131">
      <c r="I131" s="11"/>
    </row>
    <row r="132">
      <c r="I132" s="11"/>
    </row>
    <row r="133">
      <c r="I133" s="11"/>
    </row>
    <row r="134">
      <c r="I134" s="11"/>
    </row>
    <row r="135">
      <c r="I135" s="11"/>
    </row>
    <row r="136">
      <c r="I136" s="11"/>
    </row>
    <row r="137">
      <c r="I137" s="11"/>
    </row>
    <row r="138">
      <c r="I138" s="11"/>
    </row>
    <row r="139">
      <c r="I139" s="11"/>
    </row>
    <row r="140">
      <c r="I140" s="11"/>
    </row>
    <row r="141">
      <c r="I141" s="11"/>
    </row>
    <row r="142">
      <c r="I142" s="11"/>
    </row>
    <row r="143">
      <c r="I143" s="11"/>
    </row>
    <row r="144">
      <c r="I144" s="11"/>
    </row>
    <row r="145">
      <c r="I145" s="11"/>
    </row>
    <row r="146">
      <c r="I146" s="11"/>
    </row>
    <row r="147">
      <c r="I147" s="11"/>
    </row>
    <row r="148">
      <c r="I148" s="11"/>
    </row>
    <row r="149">
      <c r="I149" s="11"/>
    </row>
    <row r="150">
      <c r="I150" s="11"/>
    </row>
    <row r="151">
      <c r="I151" s="11"/>
    </row>
    <row r="152">
      <c r="I152" s="11"/>
    </row>
    <row r="153">
      <c r="I153" s="11"/>
    </row>
    <row r="154">
      <c r="I154" s="11"/>
    </row>
    <row r="155">
      <c r="I155" s="11"/>
    </row>
    <row r="156">
      <c r="I156" s="11"/>
    </row>
    <row r="157">
      <c r="I157" s="11"/>
    </row>
    <row r="158">
      <c r="I158" s="11"/>
    </row>
    <row r="159">
      <c r="I159" s="11"/>
    </row>
    <row r="160">
      <c r="I160" s="11"/>
    </row>
    <row r="161">
      <c r="I161" s="11"/>
    </row>
    <row r="162">
      <c r="I162" s="11"/>
    </row>
    <row r="163">
      <c r="I163" s="11"/>
    </row>
    <row r="164">
      <c r="I164" s="11"/>
    </row>
    <row r="165">
      <c r="I165" s="11"/>
    </row>
    <row r="166">
      <c r="I166" s="11"/>
    </row>
    <row r="167">
      <c r="I167" s="11"/>
    </row>
    <row r="168">
      <c r="I168" s="11"/>
    </row>
    <row r="169">
      <c r="I169" s="11"/>
    </row>
    <row r="170">
      <c r="I170" s="11"/>
    </row>
    <row r="171">
      <c r="I171" s="11"/>
    </row>
    <row r="172">
      <c r="I172" s="11"/>
    </row>
    <row r="173">
      <c r="I173" s="11"/>
    </row>
    <row r="174">
      <c r="I174" s="11"/>
    </row>
    <row r="175">
      <c r="I175" s="11"/>
    </row>
    <row r="176">
      <c r="I176" s="11"/>
    </row>
    <row r="177">
      <c r="I177" s="11"/>
    </row>
    <row r="178">
      <c r="I178" s="11"/>
    </row>
    <row r="179">
      <c r="I179" s="11"/>
    </row>
    <row r="180">
      <c r="I180" s="11"/>
    </row>
    <row r="181">
      <c r="I181" s="11"/>
    </row>
    <row r="182">
      <c r="I182" s="11"/>
    </row>
    <row r="183">
      <c r="I183" s="11"/>
    </row>
    <row r="184">
      <c r="I184" s="11"/>
    </row>
    <row r="185">
      <c r="I185" s="11"/>
    </row>
    <row r="186">
      <c r="I186" s="11"/>
    </row>
    <row r="187">
      <c r="I187" s="11"/>
    </row>
    <row r="188">
      <c r="I188" s="11"/>
    </row>
    <row r="189">
      <c r="I189" s="11"/>
    </row>
    <row r="190">
      <c r="I190" s="11"/>
    </row>
    <row r="191">
      <c r="I191" s="11"/>
    </row>
    <row r="192">
      <c r="I192" s="11"/>
    </row>
    <row r="193">
      <c r="I193" s="11"/>
    </row>
    <row r="194">
      <c r="I194" s="11"/>
    </row>
    <row r="195">
      <c r="I195" s="11"/>
    </row>
    <row r="196">
      <c r="I196" s="11"/>
    </row>
    <row r="197">
      <c r="I197" s="11"/>
    </row>
    <row r="198">
      <c r="I198" s="11"/>
    </row>
    <row r="199">
      <c r="I199" s="11"/>
    </row>
    <row r="200">
      <c r="I200" s="11"/>
    </row>
    <row r="201">
      <c r="I201" s="11"/>
    </row>
    <row r="202">
      <c r="I202" s="11"/>
    </row>
    <row r="203">
      <c r="I203" s="11"/>
    </row>
    <row r="204">
      <c r="I204" s="11"/>
    </row>
    <row r="205">
      <c r="I205" s="11"/>
    </row>
    <row r="206">
      <c r="I206" s="11"/>
    </row>
    <row r="207">
      <c r="I207" s="11"/>
    </row>
    <row r="208">
      <c r="I208" s="11"/>
    </row>
    <row r="209">
      <c r="I209" s="11"/>
    </row>
    <row r="210">
      <c r="I210" s="11"/>
    </row>
    <row r="211">
      <c r="I211" s="11"/>
    </row>
    <row r="212">
      <c r="I212" s="11"/>
    </row>
    <row r="213">
      <c r="I213" s="11"/>
    </row>
    <row r="214">
      <c r="I214" s="11"/>
    </row>
    <row r="215">
      <c r="I215" s="11"/>
    </row>
    <row r="216">
      <c r="I216" s="11"/>
    </row>
    <row r="217">
      <c r="I217" s="11"/>
    </row>
    <row r="218">
      <c r="I218" s="11"/>
    </row>
    <row r="219">
      <c r="I219" s="11"/>
    </row>
    <row r="220">
      <c r="I220" s="11"/>
    </row>
    <row r="221">
      <c r="I221" s="11"/>
    </row>
    <row r="222">
      <c r="I222" s="11"/>
    </row>
    <row r="223">
      <c r="I223" s="11"/>
    </row>
    <row r="224">
      <c r="I224" s="11"/>
    </row>
    <row r="225">
      <c r="I225" s="11"/>
    </row>
    <row r="226">
      <c r="I226" s="11"/>
    </row>
    <row r="227">
      <c r="I227" s="11"/>
    </row>
    <row r="228">
      <c r="I228" s="11"/>
    </row>
    <row r="229">
      <c r="I229" s="11"/>
    </row>
    <row r="230">
      <c r="I230" s="11"/>
    </row>
    <row r="231">
      <c r="I231" s="11"/>
    </row>
    <row r="232">
      <c r="I232" s="11"/>
    </row>
    <row r="233">
      <c r="I233" s="11"/>
    </row>
    <row r="234">
      <c r="I234" s="11"/>
    </row>
    <row r="235">
      <c r="I235" s="11"/>
    </row>
    <row r="236">
      <c r="I236" s="11"/>
    </row>
    <row r="237">
      <c r="I237" s="11"/>
    </row>
    <row r="238">
      <c r="I238" s="11"/>
    </row>
    <row r="239">
      <c r="I239" s="11"/>
    </row>
    <row r="240">
      <c r="I240" s="11"/>
    </row>
    <row r="241">
      <c r="I241" s="11"/>
    </row>
    <row r="242">
      <c r="I242" s="11"/>
    </row>
    <row r="243">
      <c r="I243" s="11"/>
    </row>
    <row r="244">
      <c r="I244" s="11"/>
    </row>
    <row r="245">
      <c r="I245" s="11"/>
    </row>
    <row r="246">
      <c r="I246" s="11"/>
    </row>
    <row r="247">
      <c r="I247" s="11"/>
    </row>
    <row r="248">
      <c r="I248" s="11"/>
    </row>
    <row r="249">
      <c r="I249" s="11"/>
    </row>
    <row r="250">
      <c r="I250" s="11"/>
    </row>
    <row r="251">
      <c r="I251" s="11"/>
    </row>
    <row r="252">
      <c r="I252" s="11"/>
    </row>
    <row r="253">
      <c r="I253" s="11"/>
    </row>
    <row r="254">
      <c r="I254" s="11"/>
    </row>
    <row r="255">
      <c r="I255" s="11"/>
    </row>
    <row r="256">
      <c r="I256" s="11"/>
    </row>
    <row r="257">
      <c r="I257" s="11"/>
    </row>
    <row r="258">
      <c r="I258" s="11"/>
    </row>
    <row r="259">
      <c r="I259" s="11"/>
    </row>
    <row r="260">
      <c r="I260" s="11"/>
    </row>
    <row r="261">
      <c r="I261" s="11"/>
    </row>
    <row r="262">
      <c r="I262" s="11"/>
    </row>
    <row r="263">
      <c r="I263" s="11"/>
    </row>
    <row r="264">
      <c r="I264" s="11"/>
    </row>
    <row r="265">
      <c r="I265" s="11"/>
    </row>
    <row r="266">
      <c r="I266" s="11"/>
    </row>
    <row r="267">
      <c r="I267" s="11"/>
    </row>
    <row r="268">
      <c r="I268" s="11"/>
    </row>
    <row r="269">
      <c r="I269" s="11"/>
    </row>
    <row r="270">
      <c r="I270" s="11"/>
    </row>
    <row r="271">
      <c r="I271" s="11"/>
    </row>
    <row r="272">
      <c r="I272" s="11"/>
    </row>
    <row r="273">
      <c r="I273" s="11"/>
    </row>
    <row r="274">
      <c r="I274" s="11"/>
    </row>
    <row r="275">
      <c r="I275" s="11"/>
    </row>
    <row r="276">
      <c r="I276" s="11"/>
    </row>
    <row r="277">
      <c r="I277" s="11"/>
    </row>
    <row r="278">
      <c r="I278" s="11"/>
    </row>
    <row r="279">
      <c r="I279" s="11"/>
    </row>
    <row r="280">
      <c r="I280" s="11"/>
    </row>
    <row r="281">
      <c r="I281" s="11"/>
    </row>
    <row r="282">
      <c r="I282" s="11"/>
    </row>
    <row r="283">
      <c r="I283" s="11"/>
    </row>
    <row r="284">
      <c r="I284" s="11"/>
    </row>
    <row r="285">
      <c r="I285" s="11"/>
    </row>
    <row r="286">
      <c r="I286" s="11"/>
    </row>
    <row r="287">
      <c r="I287" s="11"/>
    </row>
    <row r="288">
      <c r="I288" s="11"/>
    </row>
    <row r="289">
      <c r="I289" s="11"/>
    </row>
    <row r="290">
      <c r="I290" s="11"/>
    </row>
    <row r="291">
      <c r="I291" s="11"/>
    </row>
    <row r="292">
      <c r="I292" s="11"/>
    </row>
    <row r="293">
      <c r="I293" s="11"/>
    </row>
    <row r="294">
      <c r="I294" s="11"/>
    </row>
    <row r="295">
      <c r="I295" s="11"/>
    </row>
    <row r="296">
      <c r="I296" s="11"/>
    </row>
    <row r="297">
      <c r="I297" s="11"/>
    </row>
    <row r="298">
      <c r="I298" s="11"/>
    </row>
    <row r="299">
      <c r="I299" s="11"/>
    </row>
    <row r="300">
      <c r="I300" s="11"/>
    </row>
    <row r="301">
      <c r="I301" s="11"/>
    </row>
    <row r="302">
      <c r="I302" s="11"/>
    </row>
    <row r="303">
      <c r="I303" s="11"/>
    </row>
    <row r="304">
      <c r="I304" s="11"/>
    </row>
    <row r="305">
      <c r="I305" s="11"/>
    </row>
    <row r="306">
      <c r="I306" s="11"/>
    </row>
    <row r="307">
      <c r="I307" s="11"/>
    </row>
    <row r="308">
      <c r="I308" s="11"/>
    </row>
    <row r="309">
      <c r="I309" s="11"/>
    </row>
    <row r="310">
      <c r="I310" s="11"/>
    </row>
    <row r="311">
      <c r="I311" s="11"/>
    </row>
    <row r="312">
      <c r="I312" s="11"/>
    </row>
    <row r="313">
      <c r="I313" s="11"/>
    </row>
    <row r="314">
      <c r="I314" s="11"/>
    </row>
    <row r="315">
      <c r="I315" s="11"/>
    </row>
    <row r="316">
      <c r="I316" s="11"/>
    </row>
    <row r="317">
      <c r="I317" s="11"/>
    </row>
    <row r="318">
      <c r="I318" s="11"/>
    </row>
    <row r="319">
      <c r="I319" s="11"/>
    </row>
    <row r="320">
      <c r="I320" s="11"/>
    </row>
    <row r="321">
      <c r="I321" s="11"/>
    </row>
    <row r="322">
      <c r="I322" s="11"/>
    </row>
    <row r="323">
      <c r="I323" s="11"/>
    </row>
    <row r="324">
      <c r="I324" s="11"/>
    </row>
    <row r="325">
      <c r="I325" s="11"/>
    </row>
    <row r="326">
      <c r="I326" s="11"/>
    </row>
    <row r="327">
      <c r="I327" s="11"/>
    </row>
    <row r="328">
      <c r="I328" s="11"/>
    </row>
    <row r="329">
      <c r="I329" s="11"/>
    </row>
    <row r="330">
      <c r="I330" s="11"/>
    </row>
    <row r="331">
      <c r="I331" s="11"/>
    </row>
    <row r="332">
      <c r="I332" s="11"/>
    </row>
    <row r="333">
      <c r="I333" s="11"/>
    </row>
    <row r="334">
      <c r="I334" s="11"/>
    </row>
    <row r="335">
      <c r="I335" s="11"/>
    </row>
    <row r="336">
      <c r="I336" s="11"/>
    </row>
    <row r="337">
      <c r="I337" s="11"/>
    </row>
    <row r="338">
      <c r="I338" s="11"/>
    </row>
    <row r="339">
      <c r="I339" s="11"/>
    </row>
    <row r="340">
      <c r="I340" s="11"/>
    </row>
    <row r="341">
      <c r="I341" s="11"/>
    </row>
    <row r="342">
      <c r="I342" s="11"/>
    </row>
    <row r="343">
      <c r="I343" s="11"/>
    </row>
    <row r="344">
      <c r="I344" s="11"/>
    </row>
    <row r="345">
      <c r="I345" s="11"/>
    </row>
    <row r="346">
      <c r="I346" s="11"/>
    </row>
    <row r="347">
      <c r="I347" s="11"/>
    </row>
    <row r="348">
      <c r="I348" s="11"/>
    </row>
    <row r="349">
      <c r="I349" s="11"/>
    </row>
    <row r="350">
      <c r="I350" s="11"/>
    </row>
    <row r="351">
      <c r="I351" s="11"/>
    </row>
    <row r="352">
      <c r="I352" s="11"/>
    </row>
    <row r="353">
      <c r="I353" s="11"/>
    </row>
    <row r="354">
      <c r="I354" s="11"/>
    </row>
    <row r="355">
      <c r="I355" s="11"/>
    </row>
    <row r="356">
      <c r="I356" s="11"/>
    </row>
    <row r="357">
      <c r="I357" s="11"/>
    </row>
    <row r="358">
      <c r="I358" s="11"/>
    </row>
    <row r="359">
      <c r="I359" s="11"/>
    </row>
    <row r="360">
      <c r="I360" s="11"/>
    </row>
    <row r="361">
      <c r="I361" s="11"/>
    </row>
    <row r="362">
      <c r="I362" s="11"/>
    </row>
    <row r="363">
      <c r="I363" s="11"/>
    </row>
    <row r="364">
      <c r="I364" s="11"/>
    </row>
    <row r="365">
      <c r="I365" s="11"/>
    </row>
    <row r="366">
      <c r="I366" s="11"/>
    </row>
    <row r="367">
      <c r="I367" s="11"/>
    </row>
    <row r="368">
      <c r="I368" s="11"/>
    </row>
    <row r="369">
      <c r="I369" s="11"/>
    </row>
    <row r="370">
      <c r="I370" s="11"/>
    </row>
    <row r="371">
      <c r="I371" s="11"/>
    </row>
    <row r="372">
      <c r="I372" s="11"/>
    </row>
    <row r="373">
      <c r="I373" s="11"/>
    </row>
    <row r="374">
      <c r="I374" s="11"/>
    </row>
    <row r="375">
      <c r="I375" s="11"/>
    </row>
    <row r="376">
      <c r="I376" s="11"/>
    </row>
    <row r="377">
      <c r="I377" s="11"/>
    </row>
    <row r="378">
      <c r="I378" s="11"/>
    </row>
    <row r="379">
      <c r="I379" s="11"/>
    </row>
    <row r="380">
      <c r="I380" s="11"/>
    </row>
    <row r="381">
      <c r="I381" s="11"/>
    </row>
    <row r="382">
      <c r="I382" s="11"/>
    </row>
    <row r="383">
      <c r="I383" s="11"/>
    </row>
    <row r="384">
      <c r="I384" s="11"/>
    </row>
    <row r="385">
      <c r="I385" s="11"/>
    </row>
    <row r="386">
      <c r="I386" s="11"/>
    </row>
    <row r="387">
      <c r="I387" s="11"/>
    </row>
    <row r="388">
      <c r="I388" s="11"/>
    </row>
    <row r="389">
      <c r="I389" s="11"/>
    </row>
    <row r="390">
      <c r="I390" s="11"/>
    </row>
    <row r="391">
      <c r="I391" s="11"/>
    </row>
    <row r="392">
      <c r="I392" s="11"/>
    </row>
    <row r="393">
      <c r="I393" s="11"/>
    </row>
    <row r="394">
      <c r="I394" s="11"/>
    </row>
    <row r="395">
      <c r="I395" s="11"/>
    </row>
    <row r="396">
      <c r="I396" s="11"/>
    </row>
    <row r="397">
      <c r="I397" s="11"/>
    </row>
    <row r="398">
      <c r="I398" s="11"/>
    </row>
    <row r="399">
      <c r="I399" s="11"/>
    </row>
    <row r="400">
      <c r="I400" s="11"/>
    </row>
    <row r="401">
      <c r="I401" s="11"/>
    </row>
    <row r="402">
      <c r="I402" s="11"/>
    </row>
    <row r="403">
      <c r="I403" s="11"/>
    </row>
    <row r="404">
      <c r="I404" s="11"/>
    </row>
    <row r="405">
      <c r="I405" s="11"/>
    </row>
    <row r="406">
      <c r="I406" s="11"/>
    </row>
    <row r="407">
      <c r="I407" s="11"/>
    </row>
    <row r="408">
      <c r="I408" s="11"/>
    </row>
    <row r="409">
      <c r="I409" s="11"/>
    </row>
    <row r="410">
      <c r="I410" s="11"/>
    </row>
    <row r="411">
      <c r="I411" s="11"/>
    </row>
    <row r="412">
      <c r="I412" s="11"/>
    </row>
    <row r="413">
      <c r="I413" s="11"/>
    </row>
    <row r="414">
      <c r="I414" s="11"/>
    </row>
    <row r="415">
      <c r="I415" s="11"/>
    </row>
    <row r="416">
      <c r="I416" s="11"/>
    </row>
    <row r="417">
      <c r="I417" s="11"/>
    </row>
    <row r="418">
      <c r="I418" s="11"/>
    </row>
    <row r="419">
      <c r="I419" s="11"/>
    </row>
    <row r="420">
      <c r="I420" s="11"/>
    </row>
    <row r="421">
      <c r="I421" s="11"/>
    </row>
    <row r="422">
      <c r="I422" s="11"/>
    </row>
    <row r="423">
      <c r="I423" s="11"/>
    </row>
    <row r="424">
      <c r="I424" s="11"/>
    </row>
    <row r="425">
      <c r="I425" s="11"/>
    </row>
    <row r="426">
      <c r="I426" s="11"/>
    </row>
    <row r="427">
      <c r="I427" s="11"/>
    </row>
    <row r="428">
      <c r="I428" s="11"/>
    </row>
    <row r="429">
      <c r="I429" s="11"/>
    </row>
    <row r="430">
      <c r="I430" s="11"/>
    </row>
    <row r="431">
      <c r="I431" s="11"/>
    </row>
    <row r="432">
      <c r="I432" s="11"/>
    </row>
    <row r="433">
      <c r="I433" s="11"/>
    </row>
    <row r="434">
      <c r="I434" s="11"/>
    </row>
    <row r="435">
      <c r="I435" s="11"/>
    </row>
    <row r="436">
      <c r="I436" s="11"/>
    </row>
    <row r="437">
      <c r="I437" s="11"/>
    </row>
    <row r="438">
      <c r="I438" s="11"/>
    </row>
    <row r="439">
      <c r="I439" s="11"/>
    </row>
    <row r="440">
      <c r="I440" s="11"/>
    </row>
    <row r="441">
      <c r="I441" s="11"/>
    </row>
    <row r="442">
      <c r="I442" s="11"/>
    </row>
    <row r="443">
      <c r="I443" s="11"/>
    </row>
    <row r="444">
      <c r="I444" s="11"/>
    </row>
    <row r="445">
      <c r="I445" s="11"/>
    </row>
    <row r="446">
      <c r="I446" s="11"/>
    </row>
    <row r="447">
      <c r="I447" s="11"/>
    </row>
    <row r="448">
      <c r="I448" s="11"/>
    </row>
    <row r="449">
      <c r="I449" s="11"/>
    </row>
    <row r="450">
      <c r="I450" s="11"/>
    </row>
    <row r="451">
      <c r="I451" s="11"/>
    </row>
    <row r="452">
      <c r="I452" s="11"/>
    </row>
    <row r="453">
      <c r="I453" s="11"/>
    </row>
    <row r="454">
      <c r="I454" s="11"/>
    </row>
    <row r="455">
      <c r="I455" s="11"/>
    </row>
    <row r="456">
      <c r="I456" s="11"/>
    </row>
    <row r="457">
      <c r="I457" s="11"/>
    </row>
    <row r="458">
      <c r="I458" s="11"/>
    </row>
    <row r="459">
      <c r="I459" s="11"/>
    </row>
    <row r="460">
      <c r="I460" s="11"/>
    </row>
    <row r="461">
      <c r="I461" s="11"/>
    </row>
    <row r="462">
      <c r="I462" s="11"/>
    </row>
    <row r="463">
      <c r="I463" s="11"/>
    </row>
    <row r="464">
      <c r="I464" s="11"/>
    </row>
    <row r="465">
      <c r="I465" s="11"/>
    </row>
    <row r="466">
      <c r="I466" s="11"/>
    </row>
    <row r="467">
      <c r="I467" s="11"/>
    </row>
    <row r="468">
      <c r="I468" s="11"/>
    </row>
    <row r="469">
      <c r="I469" s="11"/>
    </row>
    <row r="470">
      <c r="I470" s="11"/>
    </row>
    <row r="471">
      <c r="I471" s="11"/>
    </row>
    <row r="472">
      <c r="I472" s="11"/>
    </row>
    <row r="473">
      <c r="I473" s="11"/>
    </row>
    <row r="474">
      <c r="I474" s="11"/>
    </row>
    <row r="475">
      <c r="I475" s="11"/>
    </row>
    <row r="476">
      <c r="I476" s="11"/>
    </row>
    <row r="477">
      <c r="I477" s="11"/>
    </row>
    <row r="478">
      <c r="I478" s="11"/>
    </row>
    <row r="479">
      <c r="I479" s="11"/>
    </row>
    <row r="480">
      <c r="I480" s="11"/>
    </row>
    <row r="481">
      <c r="I481" s="11"/>
    </row>
    <row r="482">
      <c r="I482" s="11"/>
    </row>
    <row r="483">
      <c r="I483" s="11"/>
    </row>
    <row r="484">
      <c r="I484" s="11"/>
    </row>
    <row r="485">
      <c r="I485" s="11"/>
    </row>
    <row r="486">
      <c r="I486" s="11"/>
    </row>
    <row r="487">
      <c r="I487" s="11"/>
    </row>
    <row r="488">
      <c r="I488" s="11"/>
    </row>
    <row r="489">
      <c r="I489" s="11"/>
    </row>
    <row r="490">
      <c r="I490" s="11"/>
    </row>
    <row r="491">
      <c r="I491" s="11"/>
    </row>
    <row r="492">
      <c r="I492" s="11"/>
    </row>
    <row r="493">
      <c r="I493" s="11"/>
    </row>
    <row r="494">
      <c r="I494" s="11"/>
    </row>
    <row r="495">
      <c r="I495" s="11"/>
    </row>
    <row r="496">
      <c r="I496" s="11"/>
    </row>
    <row r="497">
      <c r="I497" s="11"/>
    </row>
    <row r="498">
      <c r="I498" s="11"/>
    </row>
    <row r="499">
      <c r="I499" s="11"/>
    </row>
    <row r="500">
      <c r="I500" s="11"/>
    </row>
    <row r="501">
      <c r="I501" s="11"/>
    </row>
    <row r="502">
      <c r="I502" s="11"/>
    </row>
    <row r="503">
      <c r="I503" s="11"/>
    </row>
    <row r="504">
      <c r="I504" s="11"/>
    </row>
    <row r="505">
      <c r="I505" s="11"/>
    </row>
    <row r="506">
      <c r="I506" s="11"/>
    </row>
    <row r="507">
      <c r="I507" s="11"/>
    </row>
    <row r="508">
      <c r="I508" s="11"/>
    </row>
    <row r="509">
      <c r="I509" s="11"/>
    </row>
    <row r="510">
      <c r="I510" s="11"/>
    </row>
    <row r="511">
      <c r="I511" s="11"/>
    </row>
    <row r="512">
      <c r="I512" s="11"/>
    </row>
    <row r="513">
      <c r="I513" s="11"/>
    </row>
    <row r="514">
      <c r="I514" s="11"/>
    </row>
    <row r="515">
      <c r="I515" s="11"/>
    </row>
    <row r="516">
      <c r="I516" s="11"/>
    </row>
    <row r="517">
      <c r="I517" s="11"/>
    </row>
    <row r="518">
      <c r="I518" s="11"/>
    </row>
    <row r="519">
      <c r="I519" s="11"/>
    </row>
    <row r="520">
      <c r="I520" s="11"/>
    </row>
    <row r="521">
      <c r="I521" s="11"/>
    </row>
    <row r="522">
      <c r="I522" s="11"/>
    </row>
    <row r="523">
      <c r="I523" s="11"/>
    </row>
    <row r="524">
      <c r="I524" s="11"/>
    </row>
    <row r="525">
      <c r="I525" s="11"/>
    </row>
    <row r="526">
      <c r="I526" s="11"/>
    </row>
    <row r="527">
      <c r="I527" s="11"/>
    </row>
    <row r="528">
      <c r="I528" s="11"/>
    </row>
    <row r="529">
      <c r="I529" s="11"/>
    </row>
    <row r="530">
      <c r="I530" s="11"/>
    </row>
    <row r="531">
      <c r="I531" s="11"/>
    </row>
    <row r="532">
      <c r="I532" s="11"/>
    </row>
    <row r="533">
      <c r="I533" s="11"/>
    </row>
    <row r="534">
      <c r="I534" s="11"/>
    </row>
    <row r="535">
      <c r="I535" s="11"/>
    </row>
    <row r="536">
      <c r="I536" s="11"/>
    </row>
    <row r="537">
      <c r="I537" s="11"/>
    </row>
    <row r="538">
      <c r="I538" s="11"/>
    </row>
    <row r="539">
      <c r="I539" s="11"/>
    </row>
    <row r="540">
      <c r="I540" s="11"/>
    </row>
    <row r="541">
      <c r="I541" s="11"/>
    </row>
    <row r="542">
      <c r="I542" s="11"/>
    </row>
    <row r="543">
      <c r="I543" s="11"/>
    </row>
    <row r="544">
      <c r="I544" s="11"/>
    </row>
    <row r="545">
      <c r="I545" s="11"/>
    </row>
    <row r="546">
      <c r="I546" s="11"/>
    </row>
    <row r="547">
      <c r="I547" s="11"/>
    </row>
    <row r="548">
      <c r="I548" s="11"/>
    </row>
    <row r="549">
      <c r="I549" s="11"/>
    </row>
    <row r="550">
      <c r="I550" s="11"/>
    </row>
    <row r="551">
      <c r="I551" s="11"/>
    </row>
    <row r="552">
      <c r="I552" s="11"/>
    </row>
    <row r="553">
      <c r="I553" s="11"/>
    </row>
    <row r="554">
      <c r="I554" s="11"/>
    </row>
    <row r="555">
      <c r="I555" s="11"/>
    </row>
    <row r="556">
      <c r="I556" s="11"/>
    </row>
    <row r="557">
      <c r="I557" s="11"/>
    </row>
    <row r="558">
      <c r="I558" s="11"/>
    </row>
    <row r="559">
      <c r="I559" s="11"/>
    </row>
    <row r="560">
      <c r="I560" s="11"/>
    </row>
    <row r="561">
      <c r="I561" s="11"/>
    </row>
    <row r="562">
      <c r="I562" s="11"/>
    </row>
    <row r="563">
      <c r="I563" s="11"/>
    </row>
    <row r="564">
      <c r="I564" s="11"/>
    </row>
    <row r="565">
      <c r="I565" s="11"/>
    </row>
    <row r="566">
      <c r="I566" s="11"/>
    </row>
    <row r="567">
      <c r="I567" s="11"/>
    </row>
    <row r="568">
      <c r="I568" s="11"/>
    </row>
    <row r="569">
      <c r="I569" s="11"/>
    </row>
    <row r="570">
      <c r="I570" s="11"/>
    </row>
    <row r="571">
      <c r="I571" s="11"/>
    </row>
    <row r="572">
      <c r="I572" s="11"/>
    </row>
    <row r="573">
      <c r="I573" s="11"/>
    </row>
    <row r="574">
      <c r="I574" s="11"/>
    </row>
    <row r="575">
      <c r="I575" s="11"/>
    </row>
    <row r="576">
      <c r="I576" s="11"/>
    </row>
    <row r="577">
      <c r="I577" s="11"/>
    </row>
    <row r="578">
      <c r="I578" s="11"/>
    </row>
    <row r="579">
      <c r="I579" s="11"/>
    </row>
    <row r="580">
      <c r="I580" s="11"/>
    </row>
    <row r="581">
      <c r="I581" s="11"/>
    </row>
    <row r="582">
      <c r="I582" s="11"/>
    </row>
    <row r="583">
      <c r="I583" s="11"/>
    </row>
    <row r="584">
      <c r="I584" s="11"/>
    </row>
    <row r="585">
      <c r="I585" s="11"/>
    </row>
    <row r="586">
      <c r="I586" s="11"/>
    </row>
    <row r="587">
      <c r="I587" s="11"/>
    </row>
    <row r="588">
      <c r="I588" s="11"/>
    </row>
    <row r="589">
      <c r="I589" s="11"/>
    </row>
    <row r="590">
      <c r="I590" s="11"/>
    </row>
    <row r="591">
      <c r="I591" s="11"/>
    </row>
    <row r="592">
      <c r="I592" s="11"/>
    </row>
    <row r="593">
      <c r="I593" s="11"/>
    </row>
    <row r="594">
      <c r="I594" s="11"/>
    </row>
    <row r="595">
      <c r="I595" s="11"/>
    </row>
    <row r="596">
      <c r="I596" s="11"/>
    </row>
    <row r="597">
      <c r="I597" s="11"/>
    </row>
    <row r="598">
      <c r="I598" s="11"/>
    </row>
    <row r="599">
      <c r="I599" s="11"/>
    </row>
    <row r="600">
      <c r="I600" s="11"/>
    </row>
    <row r="601">
      <c r="I601" s="11"/>
    </row>
    <row r="602">
      <c r="I602" s="11"/>
    </row>
    <row r="603">
      <c r="I603" s="11"/>
    </row>
    <row r="604">
      <c r="I604" s="11"/>
    </row>
    <row r="605">
      <c r="I605" s="11"/>
    </row>
    <row r="606">
      <c r="I606" s="11"/>
    </row>
    <row r="607">
      <c r="I607" s="11"/>
    </row>
    <row r="608">
      <c r="I608" s="11"/>
    </row>
    <row r="609">
      <c r="I609" s="11"/>
    </row>
    <row r="610">
      <c r="I610" s="11"/>
    </row>
    <row r="611">
      <c r="I611" s="11"/>
    </row>
    <row r="612">
      <c r="I612" s="11"/>
    </row>
    <row r="613">
      <c r="I613" s="11"/>
    </row>
    <row r="614">
      <c r="I614" s="11"/>
    </row>
    <row r="615">
      <c r="I615" s="11"/>
    </row>
    <row r="616">
      <c r="I616" s="11"/>
    </row>
    <row r="617">
      <c r="I617" s="11"/>
    </row>
    <row r="618">
      <c r="I618" s="11"/>
    </row>
    <row r="619">
      <c r="I619" s="11"/>
    </row>
    <row r="620">
      <c r="I620" s="11"/>
    </row>
    <row r="621">
      <c r="I621" s="11"/>
    </row>
    <row r="622">
      <c r="I622" s="11"/>
    </row>
    <row r="623">
      <c r="I623" s="11"/>
    </row>
    <row r="624">
      <c r="I624" s="11"/>
    </row>
    <row r="625">
      <c r="I625" s="11"/>
    </row>
    <row r="626">
      <c r="I626" s="11"/>
    </row>
    <row r="627">
      <c r="I627" s="11"/>
    </row>
    <row r="628">
      <c r="I628" s="11"/>
    </row>
    <row r="629">
      <c r="I629" s="11"/>
    </row>
    <row r="630">
      <c r="I630" s="11"/>
    </row>
    <row r="631">
      <c r="I631" s="11"/>
    </row>
    <row r="632">
      <c r="I632" s="11"/>
    </row>
    <row r="633">
      <c r="I633" s="11"/>
    </row>
    <row r="634">
      <c r="I634" s="11"/>
    </row>
    <row r="635">
      <c r="I635" s="11"/>
    </row>
    <row r="636">
      <c r="I636" s="11"/>
    </row>
    <row r="637">
      <c r="I637" s="11"/>
    </row>
    <row r="638">
      <c r="I638" s="11"/>
    </row>
    <row r="639">
      <c r="I639" s="11"/>
    </row>
    <row r="640">
      <c r="I640" s="11"/>
    </row>
    <row r="641">
      <c r="I641" s="11"/>
    </row>
    <row r="642">
      <c r="I642" s="11"/>
    </row>
    <row r="643">
      <c r="I643" s="11"/>
    </row>
    <row r="644">
      <c r="I644" s="11"/>
    </row>
    <row r="645">
      <c r="I645" s="11"/>
    </row>
    <row r="646">
      <c r="I646" s="11"/>
    </row>
    <row r="647">
      <c r="I647" s="11"/>
    </row>
    <row r="648">
      <c r="I648" s="11"/>
    </row>
    <row r="649">
      <c r="I649" s="11"/>
    </row>
    <row r="650">
      <c r="I650" s="11"/>
    </row>
    <row r="651">
      <c r="I651" s="11"/>
    </row>
    <row r="652">
      <c r="I652" s="11"/>
    </row>
    <row r="653">
      <c r="I653" s="11"/>
    </row>
    <row r="654">
      <c r="I654" s="11"/>
    </row>
    <row r="655">
      <c r="I655" s="11"/>
    </row>
    <row r="656">
      <c r="I656" s="11"/>
    </row>
    <row r="657">
      <c r="I657" s="11"/>
    </row>
    <row r="658">
      <c r="I658" s="11"/>
    </row>
    <row r="659">
      <c r="I659" s="11"/>
    </row>
    <row r="660">
      <c r="I660" s="11"/>
    </row>
    <row r="661">
      <c r="I661" s="11"/>
    </row>
    <row r="662">
      <c r="I662" s="11"/>
    </row>
    <row r="663">
      <c r="I663" s="11"/>
    </row>
    <row r="664">
      <c r="I664" s="11"/>
    </row>
    <row r="665">
      <c r="I665" s="11"/>
    </row>
    <row r="666">
      <c r="I666" s="11"/>
    </row>
    <row r="667">
      <c r="I667" s="11"/>
    </row>
    <row r="668">
      <c r="I668" s="11"/>
    </row>
    <row r="669">
      <c r="I669" s="11"/>
    </row>
    <row r="670">
      <c r="I670" s="11"/>
    </row>
    <row r="671">
      <c r="I671" s="11"/>
    </row>
    <row r="672">
      <c r="I672" s="11"/>
    </row>
    <row r="673">
      <c r="I673" s="11"/>
    </row>
    <row r="674">
      <c r="I674" s="11"/>
    </row>
    <row r="675">
      <c r="I675" s="11"/>
    </row>
    <row r="676">
      <c r="I676" s="11"/>
    </row>
    <row r="677">
      <c r="I677" s="11"/>
    </row>
    <row r="678">
      <c r="I678" s="11"/>
    </row>
    <row r="679">
      <c r="I679" s="11"/>
    </row>
    <row r="680">
      <c r="I680" s="11"/>
    </row>
    <row r="681">
      <c r="I681" s="11"/>
    </row>
    <row r="682">
      <c r="I682" s="11"/>
    </row>
    <row r="683">
      <c r="I683" s="11"/>
    </row>
    <row r="684">
      <c r="I684" s="11"/>
    </row>
    <row r="685">
      <c r="I685" s="11"/>
    </row>
    <row r="686">
      <c r="I686" s="11"/>
    </row>
    <row r="687">
      <c r="I687" s="11"/>
    </row>
    <row r="688">
      <c r="I688" s="11"/>
    </row>
    <row r="689">
      <c r="I689" s="11"/>
    </row>
    <row r="690">
      <c r="I690" s="11"/>
    </row>
    <row r="691">
      <c r="I691" s="11"/>
    </row>
    <row r="692">
      <c r="I692" s="11"/>
    </row>
    <row r="693">
      <c r="I693" s="11"/>
    </row>
    <row r="694">
      <c r="I694" s="11"/>
    </row>
    <row r="695">
      <c r="I695" s="11"/>
    </row>
    <row r="696">
      <c r="I696" s="11"/>
    </row>
    <row r="697">
      <c r="I697" s="11"/>
    </row>
    <row r="698">
      <c r="I698" s="11"/>
    </row>
    <row r="699">
      <c r="I699" s="11"/>
    </row>
    <row r="700">
      <c r="I700" s="11"/>
    </row>
    <row r="701">
      <c r="I701" s="11"/>
    </row>
    <row r="702">
      <c r="I702" s="11"/>
    </row>
    <row r="703">
      <c r="I703" s="11"/>
    </row>
    <row r="704">
      <c r="I704" s="11"/>
    </row>
    <row r="705">
      <c r="I705" s="11"/>
    </row>
    <row r="706">
      <c r="I706" s="11"/>
    </row>
    <row r="707">
      <c r="I707" s="11"/>
    </row>
    <row r="708">
      <c r="I708" s="11"/>
    </row>
    <row r="709">
      <c r="I709" s="11"/>
    </row>
    <row r="710">
      <c r="I710" s="11"/>
    </row>
    <row r="711">
      <c r="I711" s="11"/>
    </row>
    <row r="712">
      <c r="I712" s="11"/>
    </row>
    <row r="713">
      <c r="I713" s="11"/>
    </row>
    <row r="714">
      <c r="I714" s="11"/>
    </row>
    <row r="715">
      <c r="I715" s="11"/>
    </row>
    <row r="716">
      <c r="I716" s="11"/>
    </row>
    <row r="717">
      <c r="I717" s="11"/>
    </row>
    <row r="718">
      <c r="I718" s="11"/>
    </row>
    <row r="719">
      <c r="I719" s="11"/>
    </row>
    <row r="720">
      <c r="I720" s="11"/>
    </row>
    <row r="721">
      <c r="I721" s="11"/>
    </row>
    <row r="722">
      <c r="I722" s="11"/>
    </row>
    <row r="723">
      <c r="I723" s="11"/>
    </row>
    <row r="724">
      <c r="I724" s="11"/>
    </row>
    <row r="725">
      <c r="I725" s="11"/>
    </row>
    <row r="726">
      <c r="I726" s="11"/>
    </row>
    <row r="727">
      <c r="I727" s="11"/>
    </row>
    <row r="728">
      <c r="I728" s="11"/>
    </row>
    <row r="729">
      <c r="I729" s="11"/>
    </row>
    <row r="730">
      <c r="I730" s="11"/>
    </row>
    <row r="731">
      <c r="I731" s="11"/>
    </row>
    <row r="732">
      <c r="I732" s="11"/>
    </row>
    <row r="733">
      <c r="I733" s="11"/>
    </row>
    <row r="734">
      <c r="I734" s="11"/>
    </row>
    <row r="735">
      <c r="I735" s="11"/>
    </row>
    <row r="736">
      <c r="I736" s="11"/>
    </row>
    <row r="737">
      <c r="I737" s="11"/>
    </row>
    <row r="738">
      <c r="I738" s="11"/>
    </row>
    <row r="739">
      <c r="I739" s="11"/>
    </row>
    <row r="740">
      <c r="I740" s="11"/>
    </row>
    <row r="741">
      <c r="I741" s="11"/>
    </row>
    <row r="742">
      <c r="I742" s="11"/>
    </row>
    <row r="743">
      <c r="I743" s="11"/>
    </row>
    <row r="744">
      <c r="I744" s="11"/>
    </row>
    <row r="745">
      <c r="I745" s="11"/>
    </row>
    <row r="746">
      <c r="I746" s="11"/>
    </row>
    <row r="747">
      <c r="I747" s="11"/>
    </row>
    <row r="748">
      <c r="I748" s="11"/>
    </row>
    <row r="749">
      <c r="I749" s="11"/>
    </row>
    <row r="750">
      <c r="I750" s="11"/>
    </row>
    <row r="751">
      <c r="I751" s="11"/>
    </row>
    <row r="752">
      <c r="I752" s="11"/>
    </row>
    <row r="753">
      <c r="I753" s="11"/>
    </row>
    <row r="754">
      <c r="I754" s="11"/>
    </row>
    <row r="755">
      <c r="I755" s="11"/>
    </row>
    <row r="756">
      <c r="I756" s="11"/>
    </row>
    <row r="757">
      <c r="I757" s="11"/>
    </row>
    <row r="758">
      <c r="I758" s="11"/>
    </row>
    <row r="759">
      <c r="I759" s="11"/>
    </row>
    <row r="760">
      <c r="I760" s="11"/>
    </row>
    <row r="761">
      <c r="I761" s="11"/>
    </row>
    <row r="762">
      <c r="I762" s="11"/>
    </row>
    <row r="763">
      <c r="I763" s="11"/>
    </row>
    <row r="764">
      <c r="I764" s="11"/>
    </row>
    <row r="765">
      <c r="I765" s="11"/>
    </row>
    <row r="766">
      <c r="I766" s="11"/>
    </row>
    <row r="767">
      <c r="I767" s="11"/>
    </row>
    <row r="768">
      <c r="I768" s="11"/>
    </row>
    <row r="769">
      <c r="I769" s="11"/>
    </row>
    <row r="770">
      <c r="I770" s="11"/>
    </row>
    <row r="771">
      <c r="I771" s="11"/>
    </row>
    <row r="772">
      <c r="I772" s="11"/>
    </row>
    <row r="773">
      <c r="I773" s="11"/>
    </row>
    <row r="774">
      <c r="I774" s="11"/>
    </row>
    <row r="775">
      <c r="I775" s="11"/>
    </row>
    <row r="776">
      <c r="I776" s="11"/>
    </row>
    <row r="777">
      <c r="I777" s="11"/>
    </row>
    <row r="778">
      <c r="I778" s="11"/>
    </row>
    <row r="779">
      <c r="I779" s="11"/>
    </row>
    <row r="780">
      <c r="I780" s="11"/>
    </row>
    <row r="781">
      <c r="I781" s="11"/>
    </row>
    <row r="782">
      <c r="I782" s="11"/>
    </row>
    <row r="783">
      <c r="I783" s="11"/>
    </row>
    <row r="784">
      <c r="I784" s="11"/>
    </row>
    <row r="785">
      <c r="I785" s="11"/>
    </row>
    <row r="786">
      <c r="I786" s="11"/>
    </row>
    <row r="787">
      <c r="I787" s="11"/>
    </row>
    <row r="788">
      <c r="I788" s="11"/>
    </row>
    <row r="789">
      <c r="I789" s="11"/>
    </row>
    <row r="790">
      <c r="I790" s="11"/>
    </row>
    <row r="791">
      <c r="I791" s="11"/>
    </row>
    <row r="792">
      <c r="I792" s="11"/>
    </row>
    <row r="793">
      <c r="I793" s="11"/>
    </row>
    <row r="794">
      <c r="I794" s="11"/>
    </row>
    <row r="795">
      <c r="I795" s="11"/>
    </row>
    <row r="796">
      <c r="I796" s="11"/>
    </row>
    <row r="797">
      <c r="I797" s="11"/>
    </row>
    <row r="798">
      <c r="I798" s="11"/>
    </row>
    <row r="799">
      <c r="I799" s="11"/>
    </row>
    <row r="800">
      <c r="I800" s="11"/>
    </row>
    <row r="801">
      <c r="I801" s="11"/>
    </row>
    <row r="802">
      <c r="I802" s="11"/>
    </row>
    <row r="803">
      <c r="I803" s="11"/>
    </row>
    <row r="804">
      <c r="I804" s="11"/>
    </row>
    <row r="805">
      <c r="I805" s="11"/>
    </row>
    <row r="806">
      <c r="I806" s="11"/>
    </row>
    <row r="807">
      <c r="I807" s="11"/>
    </row>
    <row r="808">
      <c r="I808" s="11"/>
    </row>
    <row r="809">
      <c r="I809" s="11"/>
    </row>
    <row r="810">
      <c r="I810" s="11"/>
    </row>
    <row r="811">
      <c r="I811" s="11"/>
    </row>
    <row r="812">
      <c r="I812" s="11"/>
    </row>
    <row r="813">
      <c r="I813" s="11"/>
    </row>
    <row r="814">
      <c r="I814" s="11"/>
    </row>
    <row r="815">
      <c r="I815" s="11"/>
    </row>
    <row r="816">
      <c r="I816" s="11"/>
    </row>
    <row r="817">
      <c r="I817" s="11"/>
    </row>
    <row r="818">
      <c r="I818" s="11"/>
    </row>
    <row r="819">
      <c r="I819" s="11"/>
    </row>
    <row r="820">
      <c r="I820" s="11"/>
    </row>
    <row r="821">
      <c r="I821" s="11"/>
    </row>
    <row r="822">
      <c r="I822" s="11"/>
    </row>
    <row r="823">
      <c r="I823" s="11"/>
    </row>
    <row r="824">
      <c r="I824" s="11"/>
    </row>
    <row r="825">
      <c r="I825" s="11"/>
    </row>
    <row r="826">
      <c r="I826" s="11"/>
    </row>
    <row r="827">
      <c r="I827" s="11"/>
    </row>
    <row r="828">
      <c r="I828" s="11"/>
    </row>
    <row r="829">
      <c r="I829" s="11"/>
    </row>
    <row r="830">
      <c r="I830" s="11"/>
    </row>
    <row r="831">
      <c r="I831" s="11"/>
    </row>
    <row r="832">
      <c r="I832" s="11"/>
    </row>
    <row r="833">
      <c r="I833" s="11"/>
    </row>
    <row r="834">
      <c r="I834" s="11"/>
    </row>
    <row r="835">
      <c r="I835" s="11"/>
    </row>
    <row r="836">
      <c r="I836" s="11"/>
    </row>
    <row r="837">
      <c r="I837" s="11"/>
    </row>
    <row r="838">
      <c r="I838" s="11"/>
    </row>
    <row r="839">
      <c r="I839" s="11"/>
    </row>
    <row r="840">
      <c r="I840" s="11"/>
    </row>
    <row r="841">
      <c r="I841" s="11"/>
    </row>
    <row r="842">
      <c r="I842" s="11"/>
    </row>
    <row r="843">
      <c r="I843" s="11"/>
    </row>
    <row r="844">
      <c r="I844" s="11"/>
    </row>
    <row r="845">
      <c r="I845" s="11"/>
    </row>
    <row r="846">
      <c r="I846" s="11"/>
    </row>
    <row r="847">
      <c r="I847" s="11"/>
    </row>
    <row r="848">
      <c r="I848" s="11"/>
    </row>
    <row r="849">
      <c r="I849" s="11"/>
    </row>
    <row r="850">
      <c r="I850" s="11"/>
    </row>
    <row r="851">
      <c r="I851" s="11"/>
    </row>
    <row r="852">
      <c r="I852" s="11"/>
    </row>
    <row r="853">
      <c r="I853" s="11"/>
    </row>
    <row r="854">
      <c r="I854" s="11"/>
    </row>
    <row r="855">
      <c r="I855" s="11"/>
    </row>
    <row r="856">
      <c r="I856" s="11"/>
    </row>
    <row r="857">
      <c r="I857" s="11"/>
    </row>
    <row r="858">
      <c r="I858" s="11"/>
    </row>
    <row r="859">
      <c r="I859" s="11"/>
    </row>
    <row r="860">
      <c r="I860" s="11"/>
    </row>
    <row r="861">
      <c r="I861" s="11"/>
    </row>
    <row r="862">
      <c r="I862" s="11"/>
    </row>
    <row r="863">
      <c r="I863" s="11"/>
    </row>
    <row r="864">
      <c r="I864" s="11"/>
    </row>
    <row r="865">
      <c r="I865" s="11"/>
    </row>
    <row r="866">
      <c r="I866" s="11"/>
    </row>
    <row r="867">
      <c r="I867" s="11"/>
    </row>
    <row r="868">
      <c r="I868" s="11"/>
    </row>
    <row r="869">
      <c r="I869" s="11"/>
    </row>
    <row r="870">
      <c r="I870" s="11"/>
    </row>
    <row r="871">
      <c r="I871" s="11"/>
    </row>
    <row r="872">
      <c r="I872" s="11"/>
    </row>
    <row r="873">
      <c r="I873" s="11"/>
    </row>
    <row r="874">
      <c r="I874" s="11"/>
    </row>
    <row r="875">
      <c r="I875" s="11"/>
    </row>
    <row r="876">
      <c r="I876" s="11"/>
    </row>
    <row r="877">
      <c r="I877" s="11"/>
    </row>
    <row r="878">
      <c r="I878" s="11"/>
    </row>
    <row r="879">
      <c r="I879" s="11"/>
    </row>
    <row r="880">
      <c r="I880" s="11"/>
    </row>
    <row r="881">
      <c r="I881" s="11"/>
    </row>
    <row r="882">
      <c r="I882" s="11"/>
    </row>
    <row r="883">
      <c r="I883" s="11"/>
    </row>
    <row r="884">
      <c r="I884" s="11"/>
    </row>
    <row r="885">
      <c r="I885" s="11"/>
    </row>
    <row r="886">
      <c r="I886" s="11"/>
    </row>
    <row r="887">
      <c r="I887" s="11"/>
    </row>
    <row r="888">
      <c r="I888" s="11"/>
    </row>
    <row r="889">
      <c r="I889" s="11"/>
    </row>
    <row r="890">
      <c r="I890" s="11"/>
    </row>
    <row r="891">
      <c r="I891" s="11"/>
    </row>
    <row r="892">
      <c r="I892" s="11"/>
    </row>
    <row r="893">
      <c r="I893" s="11"/>
    </row>
    <row r="894">
      <c r="I894" s="11"/>
    </row>
    <row r="895">
      <c r="I895" s="11"/>
    </row>
    <row r="896">
      <c r="I896" s="11"/>
    </row>
    <row r="897">
      <c r="I897" s="11"/>
    </row>
    <row r="898">
      <c r="I898" s="11"/>
    </row>
    <row r="899">
      <c r="I899" s="11"/>
    </row>
    <row r="900">
      <c r="I900" s="11"/>
    </row>
    <row r="901">
      <c r="I901" s="11"/>
    </row>
    <row r="902">
      <c r="I902" s="11"/>
    </row>
    <row r="903">
      <c r="I903" s="11"/>
    </row>
    <row r="904">
      <c r="I904" s="11"/>
    </row>
    <row r="905">
      <c r="I905" s="11"/>
    </row>
    <row r="906">
      <c r="I906" s="11"/>
    </row>
    <row r="907">
      <c r="I907" s="11"/>
    </row>
    <row r="908">
      <c r="I908" s="11"/>
    </row>
    <row r="909">
      <c r="I909" s="11"/>
    </row>
    <row r="910">
      <c r="I910" s="11"/>
    </row>
    <row r="911">
      <c r="I911" s="11"/>
    </row>
    <row r="912">
      <c r="I912" s="11"/>
    </row>
    <row r="913">
      <c r="I913" s="11"/>
    </row>
    <row r="914">
      <c r="I914" s="11"/>
    </row>
    <row r="915">
      <c r="I915" s="11"/>
    </row>
    <row r="916">
      <c r="I916" s="11"/>
    </row>
    <row r="917">
      <c r="I917" s="11"/>
    </row>
    <row r="918">
      <c r="I918" s="11"/>
    </row>
    <row r="919">
      <c r="I919" s="11"/>
    </row>
    <row r="920">
      <c r="I920" s="11"/>
    </row>
    <row r="921">
      <c r="I921" s="11"/>
    </row>
    <row r="922">
      <c r="I922" s="11"/>
    </row>
    <row r="923">
      <c r="I923" s="11"/>
    </row>
    <row r="924">
      <c r="I924" s="11"/>
    </row>
    <row r="925">
      <c r="I925" s="11"/>
    </row>
    <row r="926">
      <c r="I926" s="11"/>
    </row>
    <row r="927">
      <c r="I927" s="11"/>
    </row>
    <row r="928">
      <c r="I928" s="11"/>
    </row>
    <row r="929">
      <c r="I929" s="11"/>
    </row>
    <row r="930">
      <c r="I930" s="11"/>
    </row>
    <row r="931">
      <c r="I931" s="11"/>
    </row>
    <row r="932">
      <c r="I932" s="11"/>
    </row>
    <row r="933">
      <c r="I933" s="11"/>
    </row>
    <row r="934">
      <c r="I934" s="11"/>
    </row>
    <row r="935">
      <c r="I935" s="11"/>
    </row>
    <row r="936">
      <c r="I936" s="11"/>
    </row>
    <row r="937">
      <c r="I937" s="11"/>
    </row>
    <row r="938">
      <c r="I938" s="11"/>
    </row>
    <row r="939">
      <c r="I939" s="11"/>
    </row>
    <row r="940">
      <c r="I940" s="11"/>
    </row>
    <row r="941">
      <c r="I941" s="11"/>
    </row>
    <row r="942">
      <c r="I942" s="11"/>
    </row>
    <row r="943">
      <c r="I943" s="11"/>
    </row>
    <row r="944">
      <c r="I944" s="11"/>
    </row>
    <row r="945">
      <c r="I945" s="11"/>
    </row>
    <row r="946">
      <c r="I946" s="11"/>
    </row>
    <row r="947">
      <c r="I947" s="11"/>
    </row>
    <row r="948">
      <c r="I948" s="11"/>
    </row>
    <row r="949">
      <c r="I949" s="11"/>
    </row>
    <row r="950">
      <c r="I950" s="11"/>
    </row>
    <row r="951">
      <c r="I951" s="11"/>
    </row>
    <row r="952">
      <c r="I952" s="11"/>
    </row>
    <row r="953">
      <c r="I953" s="11"/>
    </row>
    <row r="954">
      <c r="I954" s="11"/>
    </row>
    <row r="955">
      <c r="I955" s="11"/>
    </row>
    <row r="956">
      <c r="I956" s="11"/>
    </row>
    <row r="957">
      <c r="I957" s="11"/>
    </row>
    <row r="958">
      <c r="I958" s="11"/>
    </row>
    <row r="959">
      <c r="I959" s="11"/>
    </row>
    <row r="960">
      <c r="I960" s="11"/>
    </row>
    <row r="961">
      <c r="I961" s="11"/>
    </row>
    <row r="962">
      <c r="I962" s="11"/>
    </row>
    <row r="963">
      <c r="I963" s="11"/>
    </row>
    <row r="964">
      <c r="I964" s="11"/>
    </row>
    <row r="965">
      <c r="I965" s="11"/>
    </row>
    <row r="966">
      <c r="I966" s="11"/>
    </row>
    <row r="967">
      <c r="I967" s="11"/>
    </row>
    <row r="968">
      <c r="I968" s="11"/>
    </row>
    <row r="969">
      <c r="I969" s="11"/>
    </row>
    <row r="970">
      <c r="I970" s="11"/>
    </row>
    <row r="971">
      <c r="I971" s="11"/>
    </row>
    <row r="972">
      <c r="I972" s="11"/>
    </row>
    <row r="973">
      <c r="I973" s="11"/>
    </row>
    <row r="974">
      <c r="I974" s="11"/>
    </row>
    <row r="975">
      <c r="I975" s="11"/>
    </row>
    <row r="976">
      <c r="I976" s="11"/>
    </row>
    <row r="977">
      <c r="I977" s="11"/>
    </row>
    <row r="978">
      <c r="I978" s="11"/>
    </row>
    <row r="979">
      <c r="I979" s="11"/>
    </row>
    <row r="980">
      <c r="I980" s="11"/>
    </row>
    <row r="981">
      <c r="I981" s="11"/>
    </row>
    <row r="982">
      <c r="I982" s="11"/>
    </row>
    <row r="983">
      <c r="I983" s="11"/>
    </row>
    <row r="984">
      <c r="I984" s="11"/>
    </row>
    <row r="985">
      <c r="I985" s="11"/>
    </row>
    <row r="986">
      <c r="I986" s="11"/>
    </row>
    <row r="987">
      <c r="I987" s="11"/>
    </row>
    <row r="988">
      <c r="I988" s="11"/>
    </row>
    <row r="989">
      <c r="I989" s="11"/>
    </row>
    <row r="990">
      <c r="I990" s="11"/>
    </row>
    <row r="991">
      <c r="I991" s="11"/>
    </row>
    <row r="992">
      <c r="I992" s="11"/>
    </row>
    <row r="993">
      <c r="I993" s="11"/>
    </row>
    <row r="994">
      <c r="I994" s="11"/>
    </row>
    <row r="995">
      <c r="I995" s="11"/>
    </row>
    <row r="996">
      <c r="I996" s="11"/>
    </row>
    <row r="997">
      <c r="I997" s="11"/>
    </row>
    <row r="998">
      <c r="I998" s="11"/>
    </row>
    <row r="999">
      <c r="I999" s="11"/>
    </row>
    <row r="1000">
      <c r="I1000" s="11"/>
    </row>
  </sheetData>
  <autoFilter ref="$A$1:$AB$31"/>
  <conditionalFormatting sqref="J1:J1000">
    <cfRule type="containsText" dxfId="0" priority="1" operator="containsText" text="Large Cargo">
      <formula>NOT(ISERROR(SEARCH(("Large Cargo"),(J1))))</formula>
    </cfRule>
  </conditionalFormatting>
  <conditionalFormatting sqref="J1:J1000">
    <cfRule type="containsText" dxfId="1" priority="2" operator="containsText" text="Small Cargo">
      <formula>NOT(ISERROR(SEARCH(("Small Cargo"),(J1))))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row r="2">
      <c r="A2" s="1" t="s">
        <v>5</v>
      </c>
    </row>
    <row r="3">
      <c r="A3" s="1" t="s">
        <v>8</v>
      </c>
    </row>
    <row r="4">
      <c r="A4" s="1" t="s">
        <v>11</v>
      </c>
    </row>
    <row r="5">
      <c r="A5" s="1" t="s">
        <v>14</v>
      </c>
    </row>
    <row r="8">
      <c r="A8" s="3"/>
    </row>
    <row r="9">
      <c r="A9" s="3"/>
    </row>
    <row r="10">
      <c r="A10" s="3"/>
    </row>
    <row r="11">
      <c r="A1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13.38"/>
    <col customWidth="1" min="3" max="3" width="15.13"/>
    <col customWidth="1" min="4" max="4" width="13.38"/>
    <col customWidth="1" min="5" max="6" width="19.75"/>
    <col customWidth="1" min="8" max="8" width="13.38"/>
    <col customWidth="1" min="9" max="9" width="15.5"/>
    <col customWidth="1" min="10" max="10" width="16.88"/>
    <col customWidth="1" min="13" max="13" width="19.63"/>
    <col customWidth="1" min="14" max="14" width="14.13"/>
  </cols>
  <sheetData>
    <row r="1">
      <c r="A1" s="2" t="s">
        <v>3</v>
      </c>
      <c r="B1" s="2" t="s">
        <v>16</v>
      </c>
      <c r="C1" s="2" t="s">
        <v>18</v>
      </c>
      <c r="D1" s="2" t="s">
        <v>20</v>
      </c>
      <c r="E1" s="2" t="s">
        <v>22</v>
      </c>
      <c r="F1" s="2" t="s">
        <v>24</v>
      </c>
      <c r="G1" s="2" t="s">
        <v>17</v>
      </c>
      <c r="H1" s="2" t="s">
        <v>6</v>
      </c>
      <c r="I1" s="2" t="s">
        <v>29</v>
      </c>
      <c r="J1" s="2" t="s">
        <v>30</v>
      </c>
      <c r="L1" s="1" t="s">
        <v>0</v>
      </c>
      <c r="M1" s="1" t="s">
        <v>32</v>
      </c>
      <c r="N1" s="1" t="s">
        <v>34</v>
      </c>
      <c r="O1" s="1" t="s">
        <v>32</v>
      </c>
    </row>
    <row r="2">
      <c r="A2" s="2" t="s">
        <v>38</v>
      </c>
      <c r="B2" s="1" t="s">
        <v>39</v>
      </c>
      <c r="C2" s="6" t="s">
        <v>18</v>
      </c>
      <c r="D2" s="7" t="s">
        <v>42</v>
      </c>
      <c r="E2" s="8" t="s">
        <v>45</v>
      </c>
      <c r="F2" s="1" t="s">
        <v>16</v>
      </c>
      <c r="G2" s="6" t="s">
        <v>17</v>
      </c>
      <c r="H2" s="1" t="s">
        <v>17</v>
      </c>
      <c r="I2" s="9" t="s">
        <v>6</v>
      </c>
      <c r="J2" s="7" t="s">
        <v>46</v>
      </c>
      <c r="L2" s="1" t="s">
        <v>47</v>
      </c>
      <c r="M2" s="1" t="s">
        <v>49</v>
      </c>
      <c r="O2" s="10">
        <f>1/100</f>
        <v>0.01</v>
      </c>
    </row>
    <row r="3">
      <c r="A3" s="2" t="s">
        <v>62</v>
      </c>
      <c r="C3" s="12"/>
      <c r="E3" s="13"/>
      <c r="G3" s="12"/>
      <c r="I3" s="9" t="s">
        <v>63</v>
      </c>
      <c r="J3" s="1" t="s">
        <v>64</v>
      </c>
      <c r="L3" s="1" t="s">
        <v>47</v>
      </c>
      <c r="M3" s="1" t="s">
        <v>66</v>
      </c>
      <c r="O3" s="10">
        <f>27/100</f>
        <v>0.27</v>
      </c>
    </row>
    <row r="4">
      <c r="A4" s="2" t="s">
        <v>70</v>
      </c>
      <c r="B4" s="1" t="s">
        <v>71</v>
      </c>
      <c r="C4" s="6" t="s">
        <v>72</v>
      </c>
      <c r="D4" s="1" t="s">
        <v>73</v>
      </c>
      <c r="E4" s="9" t="s">
        <v>74</v>
      </c>
      <c r="F4" s="1" t="s">
        <v>72</v>
      </c>
      <c r="G4" s="6" t="s">
        <v>76</v>
      </c>
      <c r="H4" s="1" t="s">
        <v>78</v>
      </c>
      <c r="I4" s="9" t="s">
        <v>71</v>
      </c>
      <c r="J4" s="1" t="s">
        <v>76</v>
      </c>
      <c r="L4" s="1" t="s">
        <v>79</v>
      </c>
      <c r="M4" s="7" t="s">
        <v>80</v>
      </c>
      <c r="O4" s="10">
        <f t="shared" ref="O4:O6" si="1">15/100</f>
        <v>0.15</v>
      </c>
    </row>
    <row r="5">
      <c r="A5" s="2" t="s">
        <v>82</v>
      </c>
      <c r="B5" s="1" t="s">
        <v>78</v>
      </c>
      <c r="C5" s="6" t="s">
        <v>76</v>
      </c>
      <c r="D5" s="1" t="s">
        <v>78</v>
      </c>
      <c r="E5" s="9" t="s">
        <v>73</v>
      </c>
      <c r="F5" s="1" t="s">
        <v>72</v>
      </c>
      <c r="G5" s="6" t="s">
        <v>71</v>
      </c>
      <c r="H5" s="1" t="s">
        <v>73</v>
      </c>
      <c r="I5" s="9" t="s">
        <v>83</v>
      </c>
      <c r="J5" s="1" t="s">
        <v>72</v>
      </c>
      <c r="L5" s="1" t="s">
        <v>84</v>
      </c>
      <c r="M5" s="7" t="s">
        <v>54</v>
      </c>
      <c r="O5" s="1">
        <f t="shared" si="1"/>
        <v>0.15</v>
      </c>
    </row>
    <row r="6">
      <c r="A6" s="2" t="s">
        <v>86</v>
      </c>
      <c r="B6" s="7" t="s">
        <v>76</v>
      </c>
      <c r="C6" s="6" t="s">
        <v>88</v>
      </c>
      <c r="D6" s="1" t="s">
        <v>89</v>
      </c>
      <c r="E6" s="9" t="s">
        <v>73</v>
      </c>
      <c r="F6" s="1" t="s">
        <v>72</v>
      </c>
      <c r="G6" s="6" t="s">
        <v>76</v>
      </c>
      <c r="H6" s="1" t="s">
        <v>78</v>
      </c>
      <c r="I6" s="9" t="s">
        <v>74</v>
      </c>
      <c r="J6" s="1" t="s">
        <v>71</v>
      </c>
      <c r="L6" s="1" t="s">
        <v>91</v>
      </c>
      <c r="M6" s="7" t="s">
        <v>68</v>
      </c>
      <c r="N6" s="1"/>
      <c r="O6" s="1">
        <f t="shared" si="1"/>
        <v>0.15</v>
      </c>
    </row>
    <row r="7">
      <c r="A7" s="2" t="s">
        <v>92</v>
      </c>
      <c r="B7" s="1" t="s">
        <v>83</v>
      </c>
      <c r="C7" s="6" t="s">
        <v>76</v>
      </c>
      <c r="D7" s="1" t="s">
        <v>83</v>
      </c>
      <c r="E7" s="9" t="s">
        <v>83</v>
      </c>
      <c r="F7" s="1" t="s">
        <v>72</v>
      </c>
      <c r="G7" s="6" t="s">
        <v>73</v>
      </c>
      <c r="H7" s="1" t="s">
        <v>73</v>
      </c>
      <c r="I7" s="9" t="s">
        <v>73</v>
      </c>
      <c r="J7" s="1" t="s">
        <v>83</v>
      </c>
      <c r="L7" s="1" t="s">
        <v>79</v>
      </c>
      <c r="M7" s="7" t="s">
        <v>68</v>
      </c>
      <c r="N7" s="1"/>
      <c r="O7" s="1">
        <f>5/100</f>
        <v>0.05</v>
      </c>
    </row>
    <row r="8">
      <c r="A8" s="2" t="s">
        <v>100</v>
      </c>
      <c r="B8" s="1" t="s">
        <v>101</v>
      </c>
      <c r="C8" s="6" t="s">
        <v>102</v>
      </c>
      <c r="D8" s="1" t="s">
        <v>101</v>
      </c>
      <c r="E8" s="9" t="s">
        <v>101</v>
      </c>
      <c r="F8" s="1" t="s">
        <v>101</v>
      </c>
      <c r="G8" s="6" t="s">
        <v>101</v>
      </c>
      <c r="H8" s="1" t="s">
        <v>101</v>
      </c>
      <c r="I8" s="9" t="s">
        <v>101</v>
      </c>
      <c r="J8" s="1" t="s">
        <v>101</v>
      </c>
      <c r="L8" s="1" t="s">
        <v>105</v>
      </c>
      <c r="M8" s="7" t="s">
        <v>66</v>
      </c>
      <c r="N8" s="1" t="s">
        <v>106</v>
      </c>
      <c r="O8" s="1">
        <v>15.0</v>
      </c>
    </row>
    <row r="9">
      <c r="A9" s="2" t="s">
        <v>105</v>
      </c>
      <c r="B9" s="1" t="s">
        <v>108</v>
      </c>
      <c r="C9" s="6" t="s">
        <v>110</v>
      </c>
      <c r="D9" s="1" t="s">
        <v>112</v>
      </c>
      <c r="E9" s="9" t="s">
        <v>113</v>
      </c>
      <c r="F9" s="1" t="s">
        <v>113</v>
      </c>
      <c r="G9" s="6" t="s">
        <v>114</v>
      </c>
      <c r="H9" s="1" t="s">
        <v>113</v>
      </c>
      <c r="I9" s="9" t="s">
        <v>115</v>
      </c>
      <c r="J9" s="1" t="s">
        <v>116</v>
      </c>
      <c r="L9" s="1" t="s">
        <v>117</v>
      </c>
      <c r="M9" s="7" t="s">
        <v>66</v>
      </c>
      <c r="N9" s="1" t="s">
        <v>106</v>
      </c>
      <c r="O9" s="1">
        <v>12.0</v>
      </c>
    </row>
    <row r="10">
      <c r="A10" s="2" t="s">
        <v>117</v>
      </c>
      <c r="B10" s="1" t="s">
        <v>120</v>
      </c>
      <c r="C10" s="6" t="s">
        <v>120</v>
      </c>
      <c r="D10" s="1" t="s">
        <v>120</v>
      </c>
      <c r="E10" s="9" t="s">
        <v>121</v>
      </c>
      <c r="F10" s="1" t="s">
        <v>124</v>
      </c>
      <c r="G10" s="6" t="s">
        <v>125</v>
      </c>
      <c r="H10" s="1" t="s">
        <v>120</v>
      </c>
      <c r="I10" s="9" t="s">
        <v>126</v>
      </c>
      <c r="J10" s="1" t="s">
        <v>120</v>
      </c>
      <c r="L10" s="1" t="s">
        <v>100</v>
      </c>
      <c r="M10" s="7" t="s">
        <v>80</v>
      </c>
      <c r="N10" s="1" t="s">
        <v>80</v>
      </c>
      <c r="O10" s="1">
        <v>15.0</v>
      </c>
    </row>
    <row r="11">
      <c r="M11" s="7"/>
    </row>
    <row r="12">
      <c r="A12" s="1" t="s">
        <v>129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6.5"/>
    <col customWidth="1" min="3" max="3" width="9.75"/>
    <col customWidth="1" min="4" max="4" width="11.88"/>
    <col customWidth="1" min="5" max="5" width="11.13"/>
    <col customWidth="1" min="6" max="6" width="7.25"/>
    <col customWidth="1" min="7" max="7" width="4.88"/>
    <col customWidth="1" min="8" max="8" width="22.63"/>
    <col customWidth="1" min="9" max="9" width="15.5"/>
  </cols>
  <sheetData>
    <row r="1">
      <c r="A1" s="1" t="s">
        <v>0</v>
      </c>
      <c r="B1" s="1" t="s">
        <v>6</v>
      </c>
      <c r="C1" s="1" t="s">
        <v>9</v>
      </c>
      <c r="D1" s="1" t="s">
        <v>12</v>
      </c>
      <c r="E1" s="1" t="s">
        <v>17</v>
      </c>
      <c r="F1" s="1" t="s">
        <v>16</v>
      </c>
      <c r="G1" s="1" t="s">
        <v>18</v>
      </c>
      <c r="H1" s="1" t="s">
        <v>27</v>
      </c>
      <c r="J1" s="1" t="s">
        <v>0</v>
      </c>
      <c r="K1" s="1" t="s">
        <v>32</v>
      </c>
      <c r="L1" s="1" t="s">
        <v>32</v>
      </c>
    </row>
    <row r="2">
      <c r="A2" s="5" t="s">
        <v>37</v>
      </c>
      <c r="B2" s="5" t="s">
        <v>41</v>
      </c>
      <c r="C2" s="5" t="s">
        <v>43</v>
      </c>
      <c r="D2" s="5" t="s">
        <v>44</v>
      </c>
      <c r="E2" s="5" t="s">
        <v>48</v>
      </c>
      <c r="F2" s="5" t="s">
        <v>50</v>
      </c>
      <c r="G2" s="5" t="s">
        <v>51</v>
      </c>
      <c r="H2" s="5" t="s">
        <v>52</v>
      </c>
      <c r="J2" s="1" t="s">
        <v>53</v>
      </c>
      <c r="K2" s="7" t="s">
        <v>54</v>
      </c>
      <c r="L2" s="1">
        <f>10/100</f>
        <v>0.1</v>
      </c>
    </row>
    <row r="3">
      <c r="A3" s="1" t="s">
        <v>67</v>
      </c>
      <c r="E3" s="7" t="s">
        <v>68</v>
      </c>
      <c r="J3" s="1" t="s">
        <v>69</v>
      </c>
      <c r="K3" s="7" t="s">
        <v>68</v>
      </c>
      <c r="L3" s="10">
        <f>20/100</f>
        <v>0.2</v>
      </c>
    </row>
    <row r="4">
      <c r="A4" s="1" t="s">
        <v>51</v>
      </c>
      <c r="B4" s="1" t="s">
        <v>81</v>
      </c>
      <c r="C4" s="1" t="s">
        <v>81</v>
      </c>
      <c r="D4" s="1" t="s">
        <v>81</v>
      </c>
      <c r="E4" s="1" t="s">
        <v>81</v>
      </c>
      <c r="F4" s="1" t="s">
        <v>81</v>
      </c>
      <c r="H4" s="1" t="s">
        <v>81</v>
      </c>
      <c r="J4" s="1" t="s">
        <v>53</v>
      </c>
      <c r="K4" s="7" t="s">
        <v>68</v>
      </c>
      <c r="L4" s="10">
        <f>5/100</f>
        <v>0.05</v>
      </c>
    </row>
    <row r="5">
      <c r="A5" s="1" t="s">
        <v>90</v>
      </c>
      <c r="B5" s="1">
        <v>140.0</v>
      </c>
      <c r="C5" s="1">
        <v>100.0</v>
      </c>
      <c r="D5" s="1">
        <v>150.0</v>
      </c>
      <c r="E5" s="1">
        <v>210.0</v>
      </c>
      <c r="F5" s="1">
        <v>150.0</v>
      </c>
      <c r="G5" s="1">
        <v>250.0</v>
      </c>
      <c r="H5" s="1">
        <v>170.0</v>
      </c>
      <c r="J5" s="7"/>
    </row>
    <row r="6">
      <c r="A6" s="1" t="s">
        <v>94</v>
      </c>
      <c r="B6" s="1">
        <v>1.6</v>
      </c>
      <c r="C6" s="1">
        <v>1.4</v>
      </c>
      <c r="D6" s="1">
        <v>1.6</v>
      </c>
      <c r="E6" s="1">
        <v>2.7</v>
      </c>
      <c r="F6" s="1">
        <v>1.3</v>
      </c>
      <c r="G6" s="1" t="s">
        <v>95</v>
      </c>
      <c r="H6" s="1">
        <v>2.2</v>
      </c>
      <c r="J6" s="7" t="s">
        <v>18</v>
      </c>
    </row>
    <row r="7">
      <c r="A7" s="1" t="s">
        <v>96</v>
      </c>
      <c r="B7" s="1">
        <v>60.0</v>
      </c>
      <c r="C7" s="1">
        <v>60.0</v>
      </c>
      <c r="D7" s="1">
        <v>40.0</v>
      </c>
      <c r="E7" s="1">
        <v>90.0</v>
      </c>
      <c r="F7" s="1">
        <v>30.0</v>
      </c>
      <c r="H7" s="1">
        <v>60.0</v>
      </c>
      <c r="J7" s="7" t="s">
        <v>103</v>
      </c>
      <c r="L7" s="1">
        <v>3800.0</v>
      </c>
    </row>
    <row r="8">
      <c r="A8" s="1" t="s">
        <v>104</v>
      </c>
      <c r="B8" s="1">
        <v>80.0</v>
      </c>
      <c r="C8" s="1">
        <v>100.0</v>
      </c>
      <c r="D8" s="1">
        <v>30.0</v>
      </c>
      <c r="E8" s="1">
        <v>30.0</v>
      </c>
      <c r="F8" s="1">
        <v>20.0</v>
      </c>
      <c r="H8" s="1">
        <v>30.0</v>
      </c>
      <c r="J8" s="7" t="s">
        <v>109</v>
      </c>
      <c r="K8" s="1" t="s">
        <v>111</v>
      </c>
      <c r="L8" s="1">
        <v>3000.0</v>
      </c>
    </row>
    <row r="9">
      <c r="A9" s="1" t="s">
        <v>118</v>
      </c>
      <c r="B9" s="5">
        <v>30.0</v>
      </c>
      <c r="C9" s="1">
        <v>30.0</v>
      </c>
      <c r="D9" s="1">
        <v>0.0</v>
      </c>
      <c r="E9" s="1">
        <v>30.0</v>
      </c>
      <c r="F9" s="1">
        <v>0.0</v>
      </c>
      <c r="H9" s="1">
        <v>30.0</v>
      </c>
      <c r="J9" s="1" t="s">
        <v>130</v>
      </c>
      <c r="L9" s="1">
        <v>3000.0</v>
      </c>
    </row>
    <row r="10">
      <c r="A10" s="1" t="s">
        <v>134</v>
      </c>
      <c r="B10" s="5">
        <v>30.0</v>
      </c>
      <c r="C10" s="1">
        <v>0.0</v>
      </c>
      <c r="D10" s="1">
        <v>0.0</v>
      </c>
      <c r="E10" s="1">
        <v>0.0</v>
      </c>
      <c r="F10" s="1">
        <v>0.0</v>
      </c>
      <c r="H10" s="1">
        <v>30.0</v>
      </c>
      <c r="J10" s="1" t="s">
        <v>139</v>
      </c>
      <c r="L10" s="1">
        <v>2000.0</v>
      </c>
    </row>
    <row r="11">
      <c r="A11" s="1" t="s">
        <v>140</v>
      </c>
      <c r="B11" s="5">
        <v>30.0</v>
      </c>
      <c r="C11" s="1">
        <v>0.0</v>
      </c>
      <c r="D11" s="1">
        <v>0.0</v>
      </c>
      <c r="E11" s="1">
        <v>0.0</v>
      </c>
      <c r="F11" s="1">
        <v>0.0</v>
      </c>
      <c r="H11" s="1">
        <v>30.0</v>
      </c>
    </row>
    <row r="12">
      <c r="A12" s="1" t="s">
        <v>145</v>
      </c>
      <c r="B12" s="1">
        <v>260.0</v>
      </c>
      <c r="C12" s="1">
        <v>200.0</v>
      </c>
      <c r="D12" s="1">
        <v>350.0</v>
      </c>
      <c r="E12" s="1">
        <v>260.0</v>
      </c>
      <c r="F12" s="1">
        <v>350.0</v>
      </c>
      <c r="G12" s="1">
        <v>4500.0</v>
      </c>
      <c r="H12" s="1">
        <v>350.0</v>
      </c>
    </row>
    <row r="13">
      <c r="A13" s="1" t="s">
        <v>156</v>
      </c>
      <c r="B13" s="5">
        <f t="shared" ref="B13:F13" si="1">round(1.15*B12,-1)</f>
        <v>300</v>
      </c>
      <c r="C13" s="5">
        <f t="shared" si="1"/>
        <v>230</v>
      </c>
      <c r="D13" s="5">
        <f t="shared" si="1"/>
        <v>400</v>
      </c>
      <c r="E13" s="5">
        <f t="shared" si="1"/>
        <v>300</v>
      </c>
      <c r="F13" s="5">
        <f t="shared" si="1"/>
        <v>400</v>
      </c>
      <c r="G13" s="1">
        <v>4500.0</v>
      </c>
      <c r="H13" s="5">
        <f>round(1.15*H12,-1)</f>
        <v>400</v>
      </c>
    </row>
    <row r="14">
      <c r="A14" s="1" t="s">
        <v>179</v>
      </c>
      <c r="B14" s="5">
        <f>round(1.15*B12,-1)</f>
        <v>300</v>
      </c>
      <c r="C14" s="5">
        <f>round(1.3*C12,-1)</f>
        <v>260</v>
      </c>
      <c r="D14" s="5">
        <f t="shared" ref="D14:F14" si="2">round(1.15*D12,-1)</f>
        <v>400</v>
      </c>
      <c r="E14" s="5">
        <f t="shared" si="2"/>
        <v>300</v>
      </c>
      <c r="F14" s="5">
        <f t="shared" si="2"/>
        <v>400</v>
      </c>
      <c r="G14" s="1">
        <v>4500.0</v>
      </c>
      <c r="H14" s="5">
        <f>round(1.15*H12,-1)</f>
        <v>400</v>
      </c>
    </row>
    <row r="15">
      <c r="B15" s="21"/>
    </row>
    <row r="16">
      <c r="B16" s="21"/>
    </row>
    <row r="17">
      <c r="B17" s="21"/>
    </row>
    <row r="18">
      <c r="B18" s="21"/>
    </row>
    <row r="19">
      <c r="B19" s="21"/>
    </row>
    <row r="20">
      <c r="B20" s="21"/>
    </row>
    <row r="21">
      <c r="B21" s="21"/>
    </row>
    <row r="22">
      <c r="B22" s="21"/>
    </row>
    <row r="23">
      <c r="B23" s="21"/>
    </row>
    <row r="24">
      <c r="B24" s="21"/>
    </row>
    <row r="25">
      <c r="B25" s="21"/>
    </row>
    <row r="26">
      <c r="B26" s="21"/>
    </row>
    <row r="27">
      <c r="B27" s="21"/>
    </row>
    <row r="28">
      <c r="B28" s="21"/>
    </row>
    <row r="29">
      <c r="B29" s="21"/>
    </row>
    <row r="30">
      <c r="B30" s="21"/>
    </row>
    <row r="31">
      <c r="B31" s="21"/>
    </row>
    <row r="32">
      <c r="B32" s="21"/>
    </row>
    <row r="33">
      <c r="B33" s="21"/>
    </row>
    <row r="34">
      <c r="B34" s="21"/>
    </row>
    <row r="35">
      <c r="B35" s="21"/>
    </row>
    <row r="36">
      <c r="B36" s="21"/>
    </row>
    <row r="37">
      <c r="B37" s="21"/>
    </row>
    <row r="38">
      <c r="B38" s="21"/>
    </row>
    <row r="39">
      <c r="B39" s="21"/>
    </row>
    <row r="40">
      <c r="B40" s="21"/>
    </row>
    <row r="41">
      <c r="B41" s="21"/>
    </row>
    <row r="42">
      <c r="B42" s="21"/>
    </row>
    <row r="43">
      <c r="B43" s="21"/>
    </row>
    <row r="44">
      <c r="B44" s="21"/>
    </row>
    <row r="45">
      <c r="B45" s="21"/>
    </row>
    <row r="46">
      <c r="B46" s="21"/>
    </row>
    <row r="47">
      <c r="B47" s="21"/>
    </row>
    <row r="48">
      <c r="B48" s="21"/>
    </row>
    <row r="49">
      <c r="B49" s="21"/>
    </row>
    <row r="50">
      <c r="B50" s="21"/>
    </row>
    <row r="51">
      <c r="B51" s="21"/>
    </row>
    <row r="52">
      <c r="B52" s="21"/>
    </row>
    <row r="53">
      <c r="B53" s="21"/>
    </row>
    <row r="54">
      <c r="B54" s="21"/>
    </row>
    <row r="55">
      <c r="B55" s="21"/>
    </row>
    <row r="56">
      <c r="B56" s="21"/>
    </row>
    <row r="57">
      <c r="B57" s="21"/>
    </row>
    <row r="58">
      <c r="B58" s="21"/>
    </row>
    <row r="59">
      <c r="B59" s="21"/>
    </row>
    <row r="60">
      <c r="B60" s="21"/>
    </row>
    <row r="61">
      <c r="B61" s="21"/>
    </row>
    <row r="62">
      <c r="B62" s="21"/>
    </row>
    <row r="63">
      <c r="B63" s="21"/>
    </row>
    <row r="64">
      <c r="B64" s="21"/>
    </row>
    <row r="65">
      <c r="B65" s="21"/>
    </row>
    <row r="66">
      <c r="B66" s="21"/>
    </row>
    <row r="67">
      <c r="B67" s="21"/>
    </row>
    <row r="68">
      <c r="B68" s="21"/>
    </row>
    <row r="69">
      <c r="B69" s="21"/>
    </row>
    <row r="70">
      <c r="B70" s="21"/>
    </row>
    <row r="71">
      <c r="B71" s="21"/>
    </row>
    <row r="72">
      <c r="B72" s="21"/>
    </row>
    <row r="73">
      <c r="B73" s="21"/>
    </row>
    <row r="74">
      <c r="B74" s="21"/>
    </row>
    <row r="75">
      <c r="B75" s="21"/>
    </row>
    <row r="76">
      <c r="B76" s="21"/>
    </row>
    <row r="77">
      <c r="B77" s="21"/>
    </row>
    <row r="78">
      <c r="B78" s="21"/>
    </row>
    <row r="79">
      <c r="B79" s="21"/>
    </row>
    <row r="80">
      <c r="B80" s="21"/>
    </row>
    <row r="81">
      <c r="B81" s="21"/>
    </row>
    <row r="82">
      <c r="B82" s="21"/>
    </row>
    <row r="83">
      <c r="B83" s="21"/>
    </row>
    <row r="84">
      <c r="B84" s="21"/>
    </row>
    <row r="85">
      <c r="B85" s="21"/>
    </row>
    <row r="86">
      <c r="B86" s="21"/>
    </row>
    <row r="87">
      <c r="B87" s="21"/>
    </row>
    <row r="88">
      <c r="B88" s="21"/>
    </row>
    <row r="89">
      <c r="B89" s="21"/>
    </row>
    <row r="90">
      <c r="B90" s="21"/>
    </row>
    <row r="91">
      <c r="B91" s="21"/>
    </row>
    <row r="92">
      <c r="B92" s="21"/>
    </row>
    <row r="93">
      <c r="B93" s="21"/>
    </row>
    <row r="94">
      <c r="B94" s="21"/>
    </row>
    <row r="95">
      <c r="B95" s="21"/>
    </row>
    <row r="96">
      <c r="B96" s="21"/>
    </row>
    <row r="97">
      <c r="B97" s="21"/>
    </row>
    <row r="98">
      <c r="B98" s="21"/>
    </row>
    <row r="99">
      <c r="B99" s="21"/>
    </row>
    <row r="100">
      <c r="B100" s="21"/>
    </row>
    <row r="101">
      <c r="B101" s="21"/>
    </row>
    <row r="102">
      <c r="B102" s="21"/>
    </row>
    <row r="103">
      <c r="B103" s="21"/>
    </row>
    <row r="104">
      <c r="B104" s="21"/>
    </row>
    <row r="105">
      <c r="B105" s="21"/>
    </row>
    <row r="106">
      <c r="B106" s="21"/>
    </row>
    <row r="107">
      <c r="B107" s="21"/>
    </row>
    <row r="108">
      <c r="B108" s="21"/>
    </row>
    <row r="109">
      <c r="B109" s="21"/>
    </row>
    <row r="110">
      <c r="B110" s="21"/>
    </row>
    <row r="111">
      <c r="B111" s="21"/>
    </row>
    <row r="112">
      <c r="B112" s="21"/>
    </row>
    <row r="113">
      <c r="B113" s="21"/>
    </row>
    <row r="114">
      <c r="B114" s="21"/>
    </row>
    <row r="115">
      <c r="B115" s="21"/>
    </row>
    <row r="116">
      <c r="B116" s="21"/>
    </row>
    <row r="117">
      <c r="B117" s="21"/>
    </row>
    <row r="118">
      <c r="B118" s="21"/>
    </row>
    <row r="119">
      <c r="B119" s="21"/>
    </row>
    <row r="120">
      <c r="B120" s="21"/>
    </row>
    <row r="121">
      <c r="B121" s="21"/>
    </row>
    <row r="122">
      <c r="B122" s="21"/>
    </row>
    <row r="123">
      <c r="B123" s="21"/>
    </row>
    <row r="124">
      <c r="B124" s="21"/>
    </row>
    <row r="125">
      <c r="B125" s="21"/>
    </row>
    <row r="126">
      <c r="B126" s="21"/>
    </row>
    <row r="127">
      <c r="B127" s="21"/>
    </row>
    <row r="128">
      <c r="B128" s="21"/>
    </row>
    <row r="129">
      <c r="B129" s="21"/>
    </row>
    <row r="130">
      <c r="B130" s="21"/>
    </row>
    <row r="131">
      <c r="B131" s="21"/>
    </row>
    <row r="132">
      <c r="B132" s="21"/>
    </row>
    <row r="133">
      <c r="B133" s="21"/>
    </row>
    <row r="134">
      <c r="B134" s="21"/>
    </row>
    <row r="135">
      <c r="B135" s="21"/>
    </row>
    <row r="136">
      <c r="B136" s="21"/>
    </row>
    <row r="137">
      <c r="B137" s="21"/>
    </row>
    <row r="138">
      <c r="B138" s="21"/>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row r="986">
      <c r="B986" s="21"/>
    </row>
    <row r="987">
      <c r="B987" s="21"/>
    </row>
    <row r="988">
      <c r="B988" s="21"/>
    </row>
    <row r="989">
      <c r="B989" s="21"/>
    </row>
    <row r="990">
      <c r="B990" s="21"/>
    </row>
    <row r="991">
      <c r="B991" s="21"/>
    </row>
    <row r="992">
      <c r="B992" s="21"/>
    </row>
    <row r="993">
      <c r="B993" s="21"/>
    </row>
    <row r="994">
      <c r="B994" s="21"/>
    </row>
    <row r="995">
      <c r="B995" s="21"/>
    </row>
    <row r="996">
      <c r="B996" s="21"/>
    </row>
    <row r="997">
      <c r="B997" s="21"/>
    </row>
    <row r="998">
      <c r="B998" s="21"/>
    </row>
    <row r="999">
      <c r="B999" s="21"/>
    </row>
    <row r="1000">
      <c r="B1000" s="21"/>
    </row>
    <row r="1001">
      <c r="B1001" s="21"/>
    </row>
    <row r="1002">
      <c r="B1002"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3" width="10.63"/>
    <col customWidth="1" min="4" max="4" width="13.0"/>
    <col customWidth="1" min="5" max="6" width="12.63"/>
    <col customWidth="1" min="7" max="7" width="10.63"/>
    <col customWidth="1" min="8" max="8" width="13.5"/>
    <col customWidth="1" min="9" max="9" width="11.88"/>
    <col customWidth="1" min="13" max="13" width="14.13"/>
  </cols>
  <sheetData>
    <row r="1">
      <c r="A1" s="2" t="s">
        <v>137</v>
      </c>
      <c r="B1" s="15" t="s">
        <v>18</v>
      </c>
      <c r="C1" s="2" t="s">
        <v>16</v>
      </c>
      <c r="D1" s="2" t="s">
        <v>20</v>
      </c>
      <c r="E1" s="2" t="s">
        <v>143</v>
      </c>
      <c r="F1" s="16" t="s">
        <v>24</v>
      </c>
      <c r="G1" s="2" t="s">
        <v>17</v>
      </c>
      <c r="H1" s="2" t="s">
        <v>6</v>
      </c>
      <c r="I1" s="2" t="s">
        <v>40</v>
      </c>
      <c r="J1" s="1"/>
      <c r="K1" s="1" t="s">
        <v>0</v>
      </c>
      <c r="L1" s="1" t="s">
        <v>32</v>
      </c>
      <c r="M1" s="1" t="s">
        <v>34</v>
      </c>
      <c r="N1" s="1" t="s">
        <v>32</v>
      </c>
    </row>
    <row r="2">
      <c r="A2" s="17" t="s">
        <v>37</v>
      </c>
      <c r="B2" s="5" t="s">
        <v>51</v>
      </c>
      <c r="C2" s="5" t="s">
        <v>50</v>
      </c>
      <c r="D2" s="5" t="s">
        <v>151</v>
      </c>
      <c r="E2" s="5" t="s">
        <v>152</v>
      </c>
      <c r="F2" s="5" t="s">
        <v>152</v>
      </c>
      <c r="G2" s="5" t="s">
        <v>157</v>
      </c>
      <c r="H2" s="5" t="s">
        <v>158</v>
      </c>
      <c r="I2" s="5" t="s">
        <v>159</v>
      </c>
      <c r="J2" s="1"/>
      <c r="K2" s="1" t="s">
        <v>84</v>
      </c>
      <c r="L2" s="7" t="s">
        <v>66</v>
      </c>
      <c r="M2" s="1"/>
      <c r="N2" s="1">
        <v>-5.0</v>
      </c>
    </row>
    <row r="3">
      <c r="A3" s="2" t="s">
        <v>162</v>
      </c>
      <c r="B3" s="1" t="s">
        <v>18</v>
      </c>
      <c r="C3" s="1" t="s">
        <v>16</v>
      </c>
      <c r="D3" s="1" t="s">
        <v>12</v>
      </c>
      <c r="E3" s="7" t="s">
        <v>16</v>
      </c>
      <c r="F3" s="1" t="s">
        <v>12</v>
      </c>
      <c r="G3" s="1" t="s">
        <v>17</v>
      </c>
      <c r="H3" s="1" t="s">
        <v>12</v>
      </c>
      <c r="I3" s="1" t="s">
        <v>6</v>
      </c>
      <c r="J3" s="1"/>
      <c r="K3" s="1" t="s">
        <v>84</v>
      </c>
      <c r="L3" s="7" t="s">
        <v>54</v>
      </c>
      <c r="M3" s="1"/>
      <c r="N3" s="1">
        <f>8/100</f>
        <v>0.08</v>
      </c>
    </row>
    <row r="4">
      <c r="A4" s="17" t="s">
        <v>168</v>
      </c>
      <c r="B4" s="1" t="s">
        <v>88</v>
      </c>
      <c r="C4" s="1" t="s">
        <v>74</v>
      </c>
      <c r="D4" s="1" t="s">
        <v>74</v>
      </c>
      <c r="E4" s="1" t="s">
        <v>72</v>
      </c>
      <c r="F4" s="1" t="s">
        <v>72</v>
      </c>
      <c r="G4" s="1" t="s">
        <v>74</v>
      </c>
      <c r="H4" s="1" t="s">
        <v>76</v>
      </c>
      <c r="I4" s="1" t="s">
        <v>74</v>
      </c>
      <c r="K4" s="1" t="s">
        <v>47</v>
      </c>
      <c r="L4" s="7" t="s">
        <v>49</v>
      </c>
      <c r="M4" s="1"/>
      <c r="N4" s="1">
        <f>5/100</f>
        <v>0.05</v>
      </c>
    </row>
    <row r="5">
      <c r="A5" s="17" t="s">
        <v>170</v>
      </c>
      <c r="B5" s="1" t="s">
        <v>72</v>
      </c>
      <c r="C5" s="1" t="s">
        <v>73</v>
      </c>
      <c r="D5" s="1" t="s">
        <v>72</v>
      </c>
      <c r="E5" s="1" t="s">
        <v>72</v>
      </c>
      <c r="F5" s="1" t="s">
        <v>74</v>
      </c>
      <c r="G5" s="1" t="s">
        <v>78</v>
      </c>
      <c r="H5" s="1" t="s">
        <v>71</v>
      </c>
      <c r="I5" s="1" t="s">
        <v>74</v>
      </c>
      <c r="K5" s="1" t="s">
        <v>172</v>
      </c>
      <c r="L5" s="7" t="s">
        <v>68</v>
      </c>
      <c r="M5" s="1"/>
      <c r="N5" s="1">
        <f t="shared" ref="N5:N6" si="1">10/100</f>
        <v>0.1</v>
      </c>
    </row>
    <row r="6">
      <c r="A6" s="17" t="s">
        <v>178</v>
      </c>
      <c r="B6" s="1" t="s">
        <v>76</v>
      </c>
      <c r="C6" s="1" t="s">
        <v>76</v>
      </c>
      <c r="D6" s="1" t="s">
        <v>78</v>
      </c>
      <c r="E6" s="1" t="s">
        <v>73</v>
      </c>
      <c r="F6" s="1" t="s">
        <v>83</v>
      </c>
      <c r="G6" s="1" t="s">
        <v>73</v>
      </c>
      <c r="H6" s="7" t="s">
        <v>71</v>
      </c>
      <c r="I6" s="7" t="s">
        <v>73</v>
      </c>
      <c r="K6" s="1" t="s">
        <v>180</v>
      </c>
      <c r="L6" s="7" t="s">
        <v>12</v>
      </c>
      <c r="M6" s="1"/>
      <c r="N6" s="1">
        <f t="shared" si="1"/>
        <v>0.1</v>
      </c>
    </row>
    <row r="7">
      <c r="A7" s="17" t="s">
        <v>181</v>
      </c>
      <c r="B7" s="1" t="s">
        <v>72</v>
      </c>
      <c r="C7" s="1" t="s">
        <v>83</v>
      </c>
      <c r="D7" s="1" t="s">
        <v>78</v>
      </c>
      <c r="E7" s="1" t="s">
        <v>72</v>
      </c>
      <c r="F7" s="1" t="s">
        <v>78</v>
      </c>
      <c r="G7" s="1" t="s">
        <v>72</v>
      </c>
      <c r="H7" s="1" t="s">
        <v>83</v>
      </c>
      <c r="I7" s="1" t="s">
        <v>74</v>
      </c>
      <c r="K7" s="1" t="s">
        <v>182</v>
      </c>
      <c r="L7" s="7" t="s">
        <v>54</v>
      </c>
      <c r="M7" s="1" t="s">
        <v>183</v>
      </c>
      <c r="N7" s="1">
        <v>5.0</v>
      </c>
    </row>
    <row r="8">
      <c r="A8" s="2" t="s">
        <v>184</v>
      </c>
      <c r="B8" s="1" t="s">
        <v>185</v>
      </c>
      <c r="C8" s="1" t="s">
        <v>185</v>
      </c>
      <c r="D8" s="1" t="s">
        <v>185</v>
      </c>
      <c r="E8" s="1" t="s">
        <v>186</v>
      </c>
      <c r="F8" s="1" t="s">
        <v>187</v>
      </c>
      <c r="G8" s="7" t="s">
        <v>188</v>
      </c>
      <c r="H8" s="1" t="s">
        <v>189</v>
      </c>
      <c r="I8" s="1" t="s">
        <v>190</v>
      </c>
      <c r="L8" s="7"/>
    </row>
    <row r="10">
      <c r="A10" s="1" t="s">
        <v>191</v>
      </c>
      <c r="F10" s="1" t="s">
        <v>192</v>
      </c>
    </row>
    <row r="11">
      <c r="A11" s="1" t="s">
        <v>194</v>
      </c>
      <c r="B11"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14" max="14" width="18.75"/>
  </cols>
  <sheetData>
    <row r="1">
      <c r="A1" s="18" t="s">
        <v>171</v>
      </c>
      <c r="B1" s="18" t="s">
        <v>49</v>
      </c>
      <c r="C1" s="18" t="s">
        <v>173</v>
      </c>
      <c r="D1" s="18" t="s">
        <v>174</v>
      </c>
      <c r="E1" s="18" t="s">
        <v>80</v>
      </c>
      <c r="F1" s="18" t="s">
        <v>40</v>
      </c>
      <c r="G1" s="18" t="s">
        <v>12</v>
      </c>
      <c r="H1" s="18" t="s">
        <v>175</v>
      </c>
      <c r="I1" s="18" t="s">
        <v>68</v>
      </c>
      <c r="J1" s="18" t="s">
        <v>176</v>
      </c>
      <c r="K1" s="18" t="s">
        <v>13</v>
      </c>
      <c r="L1" s="18" t="s">
        <v>15</v>
      </c>
      <c r="M1" s="1" t="s">
        <v>4</v>
      </c>
      <c r="N1" s="1" t="s">
        <v>7</v>
      </c>
      <c r="O1" s="1" t="s">
        <v>10</v>
      </c>
    </row>
    <row r="2">
      <c r="A2" s="19" t="s">
        <v>36</v>
      </c>
      <c r="B2" s="19">
        <v>0.2</v>
      </c>
      <c r="C2" s="19">
        <v>0.45</v>
      </c>
      <c r="D2" s="19">
        <v>0.35</v>
      </c>
      <c r="E2" s="19">
        <v>0.5</v>
      </c>
      <c r="F2" s="19">
        <v>0.75</v>
      </c>
      <c r="G2" s="19">
        <v>0.1</v>
      </c>
      <c r="H2" s="19">
        <v>0.4</v>
      </c>
      <c r="I2" s="19">
        <v>0.75</v>
      </c>
      <c r="J2" s="19">
        <v>2.0</v>
      </c>
      <c r="K2" s="19" t="b">
        <v>0</v>
      </c>
      <c r="L2" s="19" t="b">
        <v>1</v>
      </c>
      <c r="M2" s="1" t="s">
        <v>6</v>
      </c>
      <c r="N2" s="1" t="s">
        <v>61</v>
      </c>
      <c r="O2" s="1" t="s">
        <v>40</v>
      </c>
    </row>
    <row r="3">
      <c r="A3" s="20" t="s">
        <v>177</v>
      </c>
      <c r="B3" s="20">
        <v>0.3</v>
      </c>
      <c r="C3" s="20">
        <v>0.4</v>
      </c>
      <c r="D3" s="20">
        <v>0.1</v>
      </c>
      <c r="E3" s="20">
        <v>0.3</v>
      </c>
      <c r="F3" s="20">
        <v>0.1</v>
      </c>
      <c r="G3" s="20">
        <v>0.4</v>
      </c>
      <c r="H3" s="20">
        <v>0.35</v>
      </c>
      <c r="I3" s="20">
        <v>0.6</v>
      </c>
      <c r="J3" s="20">
        <v>3.0</v>
      </c>
      <c r="K3" s="20" t="b">
        <v>1</v>
      </c>
      <c r="L3" s="20" t="b">
        <v>1</v>
      </c>
      <c r="M3" s="7" t="s">
        <v>20</v>
      </c>
      <c r="N3" s="7" t="s">
        <v>6</v>
      </c>
      <c r="O3" s="7" t="s">
        <v>20</v>
      </c>
    </row>
    <row r="4">
      <c r="A4" s="19" t="s">
        <v>60</v>
      </c>
      <c r="B4" s="19">
        <v>0.1</v>
      </c>
      <c r="C4" s="19">
        <v>0.45</v>
      </c>
      <c r="D4" s="19">
        <v>0.15</v>
      </c>
      <c r="E4" s="19">
        <v>0.1</v>
      </c>
      <c r="F4" s="19">
        <v>0.5</v>
      </c>
      <c r="G4" s="19">
        <v>0.35</v>
      </c>
      <c r="H4" s="19">
        <v>0.85</v>
      </c>
      <c r="I4" s="19">
        <v>0.5</v>
      </c>
      <c r="J4" s="19">
        <v>2.0</v>
      </c>
      <c r="K4" s="19" t="b">
        <v>0</v>
      </c>
      <c r="L4" s="19" t="b">
        <v>1</v>
      </c>
      <c r="M4" s="1" t="s">
        <v>29</v>
      </c>
      <c r="N4" s="1" t="s">
        <v>61</v>
      </c>
      <c r="O4" s="1" t="s">
        <v>6</v>
      </c>
    </row>
    <row r="5">
      <c r="A5" s="20" t="s">
        <v>65</v>
      </c>
      <c r="B5" s="20">
        <v>0.7</v>
      </c>
      <c r="C5" s="20">
        <v>0.65</v>
      </c>
      <c r="D5" s="20">
        <v>0.25</v>
      </c>
      <c r="E5" s="20">
        <v>0.25</v>
      </c>
      <c r="F5" s="20">
        <v>0.35</v>
      </c>
      <c r="G5" s="20">
        <v>0.3</v>
      </c>
      <c r="H5" s="20">
        <v>0.2</v>
      </c>
      <c r="I5" s="20">
        <v>0.35</v>
      </c>
      <c r="J5" s="20">
        <v>5.0</v>
      </c>
      <c r="K5" s="20" t="b">
        <v>0</v>
      </c>
      <c r="L5" s="20" t="b">
        <v>1</v>
      </c>
      <c r="M5" s="1" t="s">
        <v>98</v>
      </c>
      <c r="N5" s="1" t="s">
        <v>99</v>
      </c>
      <c r="O5" s="1" t="s">
        <v>98</v>
      </c>
    </row>
    <row r="6">
      <c r="A6" s="19" t="s">
        <v>77</v>
      </c>
      <c r="B6" s="19">
        <v>0.65</v>
      </c>
      <c r="C6" s="19">
        <v>0.55</v>
      </c>
      <c r="D6" s="19">
        <v>0.35</v>
      </c>
      <c r="E6" s="19">
        <v>0.3</v>
      </c>
      <c r="F6" s="19">
        <v>0.4</v>
      </c>
      <c r="G6" s="19">
        <v>0.35</v>
      </c>
      <c r="H6" s="19">
        <v>0.25</v>
      </c>
      <c r="I6" s="19">
        <v>0.35</v>
      </c>
      <c r="J6" s="19">
        <v>4.0</v>
      </c>
      <c r="K6" s="19" t="b">
        <v>0</v>
      </c>
      <c r="L6" s="19" t="b">
        <v>1</v>
      </c>
      <c r="M6" s="14" t="s">
        <v>98</v>
      </c>
      <c r="N6" s="14" t="s">
        <v>99</v>
      </c>
      <c r="O6" s="14" t="s">
        <v>98</v>
      </c>
    </row>
    <row r="7">
      <c r="A7" s="20" t="s">
        <v>87</v>
      </c>
      <c r="B7" s="20">
        <v>0.45</v>
      </c>
      <c r="C7" s="20">
        <v>0.4</v>
      </c>
      <c r="D7" s="20">
        <v>0.2</v>
      </c>
      <c r="E7" s="20">
        <v>0.1</v>
      </c>
      <c r="F7" s="20">
        <v>0.15</v>
      </c>
      <c r="G7" s="20">
        <v>0.75</v>
      </c>
      <c r="H7" s="20">
        <v>0.75</v>
      </c>
      <c r="I7" s="20">
        <v>0.65</v>
      </c>
      <c r="J7" s="20">
        <v>4.0</v>
      </c>
      <c r="K7" s="20" t="b">
        <v>0</v>
      </c>
      <c r="L7" s="20" t="b">
        <v>1</v>
      </c>
      <c r="M7" s="7" t="s">
        <v>20</v>
      </c>
      <c r="N7" s="7" t="s">
        <v>17</v>
      </c>
      <c r="O7" s="1" t="s">
        <v>17</v>
      </c>
    </row>
    <row r="8">
      <c r="A8" s="19" t="s">
        <v>93</v>
      </c>
      <c r="B8" s="19">
        <v>0.3</v>
      </c>
      <c r="C8" s="19">
        <v>0.25</v>
      </c>
      <c r="D8" s="19">
        <v>0.5</v>
      </c>
      <c r="E8" s="19">
        <v>0.7</v>
      </c>
      <c r="F8" s="19">
        <v>0.5</v>
      </c>
      <c r="G8" s="19">
        <v>0.3</v>
      </c>
      <c r="H8" s="19">
        <v>0.65</v>
      </c>
      <c r="I8" s="19">
        <v>0.5</v>
      </c>
      <c r="J8" s="19">
        <v>4.0</v>
      </c>
      <c r="K8" s="19" t="b">
        <v>0</v>
      </c>
      <c r="L8" s="19" t="b">
        <v>1</v>
      </c>
      <c r="M8" s="1" t="s">
        <v>6</v>
      </c>
      <c r="N8" s="1" t="s">
        <v>6</v>
      </c>
      <c r="O8" s="1" t="s">
        <v>24</v>
      </c>
    </row>
    <row r="9">
      <c r="A9" s="20" t="s">
        <v>97</v>
      </c>
      <c r="B9" s="20">
        <v>0.7</v>
      </c>
      <c r="C9" s="20">
        <v>0.65</v>
      </c>
      <c r="D9" s="20">
        <v>0.35</v>
      </c>
      <c r="E9" s="20">
        <v>0.15</v>
      </c>
      <c r="F9" s="20">
        <v>0.25</v>
      </c>
      <c r="G9" s="20">
        <v>0.4</v>
      </c>
      <c r="H9" s="20">
        <v>0.3</v>
      </c>
      <c r="I9" s="20">
        <v>0.4</v>
      </c>
      <c r="J9" s="20">
        <v>5.0</v>
      </c>
      <c r="K9" s="20" t="b">
        <v>0</v>
      </c>
      <c r="L9" s="20" t="b">
        <v>0</v>
      </c>
      <c r="M9" s="1" t="s">
        <v>98</v>
      </c>
      <c r="N9" s="1" t="s">
        <v>99</v>
      </c>
      <c r="O9" s="1" t="s">
        <v>98</v>
      </c>
    </row>
    <row r="10">
      <c r="A10" s="19" t="s">
        <v>107</v>
      </c>
      <c r="B10" s="19">
        <v>0.3</v>
      </c>
      <c r="C10" s="19">
        <v>0.25</v>
      </c>
      <c r="D10" s="19">
        <v>0.65</v>
      </c>
      <c r="E10" s="19">
        <v>0.7</v>
      </c>
      <c r="F10" s="19">
        <v>0.55</v>
      </c>
      <c r="G10" s="19">
        <v>0.6</v>
      </c>
      <c r="H10" s="19">
        <v>0.65</v>
      </c>
      <c r="I10" s="19">
        <v>0.4</v>
      </c>
      <c r="J10" s="19">
        <v>5.0</v>
      </c>
      <c r="K10" s="19" t="b">
        <v>0</v>
      </c>
      <c r="L10" s="19" t="b">
        <v>1</v>
      </c>
      <c r="M10" s="1" t="s">
        <v>30</v>
      </c>
      <c r="N10" s="1" t="s">
        <v>193</v>
      </c>
      <c r="O10" s="1" t="s">
        <v>24</v>
      </c>
    </row>
    <row r="11">
      <c r="A11" s="20" t="s">
        <v>119</v>
      </c>
      <c r="B11" s="20">
        <v>0.3</v>
      </c>
      <c r="C11" s="20">
        <v>0.6</v>
      </c>
      <c r="D11" s="20">
        <v>0.4</v>
      </c>
      <c r="E11" s="20">
        <v>0.5</v>
      </c>
      <c r="F11" s="20">
        <v>0.65</v>
      </c>
      <c r="G11" s="20">
        <v>0.2</v>
      </c>
      <c r="H11" s="20">
        <v>0.5</v>
      </c>
      <c r="I11" s="20">
        <v>0.7</v>
      </c>
      <c r="J11" s="20">
        <v>3.0</v>
      </c>
      <c r="K11" s="20" t="b">
        <v>0</v>
      </c>
      <c r="L11" s="20" t="b">
        <v>1</v>
      </c>
      <c r="M11" s="1" t="s">
        <v>6</v>
      </c>
      <c r="N11" s="1" t="s">
        <v>6</v>
      </c>
      <c r="O11" s="1" t="s">
        <v>6</v>
      </c>
    </row>
    <row r="12">
      <c r="A12" s="19" t="s">
        <v>122</v>
      </c>
      <c r="B12" s="19">
        <v>0.2</v>
      </c>
      <c r="C12" s="19">
        <v>0.15</v>
      </c>
      <c r="D12" s="19">
        <v>0.9</v>
      </c>
      <c r="E12" s="19">
        <v>0.5</v>
      </c>
      <c r="F12" s="19">
        <v>0.05</v>
      </c>
      <c r="G12" s="19">
        <v>0.3</v>
      </c>
      <c r="H12" s="19">
        <v>0.7</v>
      </c>
      <c r="I12" s="19">
        <v>0.35</v>
      </c>
      <c r="J12" s="19">
        <v>7.0</v>
      </c>
      <c r="K12" s="19" t="b">
        <v>0</v>
      </c>
      <c r="L12" s="19" t="b">
        <v>0</v>
      </c>
      <c r="M12" s="1" t="s">
        <v>22</v>
      </c>
      <c r="N12" s="1" t="s">
        <v>195</v>
      </c>
      <c r="O12" s="1" t="s">
        <v>24</v>
      </c>
    </row>
    <row r="13">
      <c r="A13" s="20" t="s">
        <v>128</v>
      </c>
      <c r="B13" s="20">
        <v>0.15</v>
      </c>
      <c r="C13" s="20">
        <v>0.15</v>
      </c>
      <c r="D13" s="20">
        <v>0.8</v>
      </c>
      <c r="E13" s="20">
        <v>0.5</v>
      </c>
      <c r="F13" s="20">
        <v>0.05</v>
      </c>
      <c r="G13" s="20">
        <v>0.3</v>
      </c>
      <c r="H13" s="20">
        <v>0.75</v>
      </c>
      <c r="I13" s="20">
        <v>0.4</v>
      </c>
      <c r="J13" s="20">
        <v>7.0</v>
      </c>
      <c r="K13" s="20" t="b">
        <v>0</v>
      </c>
      <c r="L13" s="20" t="b">
        <v>1</v>
      </c>
      <c r="M13" s="1" t="s">
        <v>22</v>
      </c>
      <c r="N13" s="1" t="s">
        <v>195</v>
      </c>
      <c r="O13" s="1" t="s">
        <v>24</v>
      </c>
    </row>
    <row r="14">
      <c r="A14" s="19" t="s">
        <v>131</v>
      </c>
      <c r="B14" s="19">
        <v>0.55</v>
      </c>
      <c r="C14" s="19">
        <v>0.5</v>
      </c>
      <c r="D14" s="19">
        <v>0.9</v>
      </c>
      <c r="E14" s="19">
        <v>0.75</v>
      </c>
      <c r="F14" s="19">
        <v>0.35</v>
      </c>
      <c r="G14" s="19">
        <v>0.6</v>
      </c>
      <c r="H14" s="19">
        <v>0.68</v>
      </c>
      <c r="I14" s="19">
        <v>0.7</v>
      </c>
      <c r="J14" s="19">
        <v>6.0</v>
      </c>
      <c r="K14" s="19" t="b">
        <v>0</v>
      </c>
      <c r="L14" s="19" t="b">
        <v>1</v>
      </c>
      <c r="M14" s="14" t="s">
        <v>132</v>
      </c>
      <c r="N14" s="14" t="s">
        <v>196</v>
      </c>
      <c r="O14" s="14" t="s">
        <v>133</v>
      </c>
    </row>
    <row r="15">
      <c r="A15" s="20" t="s">
        <v>136</v>
      </c>
      <c r="B15" s="20">
        <v>0.05</v>
      </c>
      <c r="C15" s="20">
        <v>0.5</v>
      </c>
      <c r="D15" s="20">
        <v>0.125</v>
      </c>
      <c r="E15" s="20">
        <v>0.1</v>
      </c>
      <c r="F15" s="20">
        <v>0.9</v>
      </c>
      <c r="G15" s="20">
        <v>0.05</v>
      </c>
      <c r="H15" s="20">
        <v>0.1</v>
      </c>
      <c r="I15" s="20">
        <v>0.65</v>
      </c>
      <c r="J15" s="20">
        <v>1.0</v>
      </c>
      <c r="K15" s="20" t="b">
        <v>0</v>
      </c>
      <c r="L15" s="20" t="b">
        <v>0</v>
      </c>
      <c r="M15" s="1" t="s">
        <v>29</v>
      </c>
      <c r="N15" s="7" t="s">
        <v>9</v>
      </c>
      <c r="O15" s="1" t="s">
        <v>40</v>
      </c>
    </row>
    <row r="16">
      <c r="A16" s="19" t="s">
        <v>138</v>
      </c>
      <c r="B16" s="19">
        <v>0.1</v>
      </c>
      <c r="C16" s="19">
        <v>0.5</v>
      </c>
      <c r="D16" s="19">
        <v>0.2</v>
      </c>
      <c r="E16" s="19">
        <v>0.1</v>
      </c>
      <c r="F16" s="19">
        <v>0.55</v>
      </c>
      <c r="G16" s="19">
        <v>0.3</v>
      </c>
      <c r="H16" s="19">
        <v>0.85</v>
      </c>
      <c r="I16" s="19">
        <v>0.5</v>
      </c>
      <c r="J16" s="19">
        <v>2.0</v>
      </c>
      <c r="K16" s="19" t="b">
        <v>0</v>
      </c>
      <c r="L16" s="19" t="b">
        <v>1</v>
      </c>
      <c r="M16" s="1" t="s">
        <v>29</v>
      </c>
      <c r="N16" s="1" t="s">
        <v>61</v>
      </c>
      <c r="O16" s="1" t="s">
        <v>6</v>
      </c>
    </row>
    <row r="17">
      <c r="A17" s="20" t="s">
        <v>141</v>
      </c>
      <c r="B17" s="20">
        <v>0.1</v>
      </c>
      <c r="C17" s="20">
        <v>0.25</v>
      </c>
      <c r="D17" s="20">
        <v>0.55</v>
      </c>
      <c r="E17" s="20">
        <v>0.85</v>
      </c>
      <c r="F17" s="20">
        <v>0.55</v>
      </c>
      <c r="G17" s="20">
        <v>0.15</v>
      </c>
      <c r="H17" s="20">
        <v>0.8</v>
      </c>
      <c r="I17" s="20">
        <v>0.45</v>
      </c>
      <c r="J17" s="20">
        <v>3.0</v>
      </c>
      <c r="K17" s="20" t="b">
        <v>0</v>
      </c>
      <c r="L17" s="20" t="b">
        <v>1</v>
      </c>
      <c r="M17" s="1" t="s">
        <v>30</v>
      </c>
      <c r="N17" s="1" t="s">
        <v>197</v>
      </c>
      <c r="O17" s="1" t="s">
        <v>24</v>
      </c>
    </row>
    <row r="18">
      <c r="A18" s="19" t="s">
        <v>144</v>
      </c>
      <c r="B18" s="19">
        <v>0.1</v>
      </c>
      <c r="C18" s="19">
        <v>0.3</v>
      </c>
      <c r="D18" s="19">
        <v>0.1</v>
      </c>
      <c r="E18" s="19">
        <v>0.5</v>
      </c>
      <c r="F18" s="19">
        <v>0.45</v>
      </c>
      <c r="G18" s="19">
        <v>0.05</v>
      </c>
      <c r="H18" s="19">
        <v>0.2</v>
      </c>
      <c r="I18" s="19">
        <v>0.5</v>
      </c>
      <c r="J18" s="19">
        <v>1.0</v>
      </c>
      <c r="K18" s="19" t="b">
        <v>0</v>
      </c>
      <c r="L18" s="19" t="b">
        <v>1</v>
      </c>
      <c r="M18" s="1" t="s">
        <v>6</v>
      </c>
      <c r="N18" s="1" t="s">
        <v>61</v>
      </c>
      <c r="O18" s="1" t="s">
        <v>40</v>
      </c>
    </row>
    <row r="19">
      <c r="A19" s="20" t="s">
        <v>146</v>
      </c>
      <c r="B19" s="20">
        <v>0.4</v>
      </c>
      <c r="C19" s="20">
        <v>0.15</v>
      </c>
      <c r="D19" s="20">
        <v>0.15</v>
      </c>
      <c r="E19" s="20">
        <v>0.05</v>
      </c>
      <c r="F19" s="20">
        <v>0.05</v>
      </c>
      <c r="G19" s="20">
        <v>0.9</v>
      </c>
      <c r="H19" s="20">
        <v>0.95</v>
      </c>
      <c r="I19" s="20">
        <v>0.8</v>
      </c>
      <c r="J19" s="20">
        <v>3.0</v>
      </c>
      <c r="K19" s="20" t="b">
        <v>1</v>
      </c>
      <c r="L19" s="20" t="b">
        <v>1</v>
      </c>
      <c r="M19" s="1" t="s">
        <v>17</v>
      </c>
      <c r="N19" s="1" t="s">
        <v>17</v>
      </c>
      <c r="O19" s="1" t="s">
        <v>17</v>
      </c>
    </row>
    <row r="20">
      <c r="A20" s="19" t="s">
        <v>147</v>
      </c>
      <c r="B20" s="19">
        <v>0.7</v>
      </c>
      <c r="C20" s="19">
        <v>0.9</v>
      </c>
      <c r="D20" s="19">
        <v>0.05</v>
      </c>
      <c r="E20" s="19">
        <v>0.1</v>
      </c>
      <c r="F20" s="19">
        <v>0.25</v>
      </c>
      <c r="G20" s="19">
        <v>0.25</v>
      </c>
      <c r="H20" s="19">
        <v>0.2</v>
      </c>
      <c r="I20" s="19">
        <v>0.3</v>
      </c>
      <c r="J20" s="19">
        <v>5.0</v>
      </c>
      <c r="K20" s="19" t="b">
        <v>0</v>
      </c>
      <c r="L20" s="19" t="b">
        <v>0</v>
      </c>
      <c r="M20" s="1" t="s">
        <v>98</v>
      </c>
      <c r="N20" s="1" t="s">
        <v>99</v>
      </c>
      <c r="O20" s="1" t="s">
        <v>98</v>
      </c>
    </row>
    <row r="21">
      <c r="A21" s="20" t="s">
        <v>148</v>
      </c>
      <c r="B21" s="20">
        <v>0.65</v>
      </c>
      <c r="C21" s="20">
        <v>0.85</v>
      </c>
      <c r="D21" s="20">
        <v>0.15</v>
      </c>
      <c r="E21" s="20">
        <v>0.15</v>
      </c>
      <c r="F21" s="20">
        <v>0.3</v>
      </c>
      <c r="G21" s="20">
        <v>0.3</v>
      </c>
      <c r="H21" s="20">
        <v>0.25</v>
      </c>
      <c r="I21" s="20">
        <v>0.35</v>
      </c>
      <c r="J21" s="20">
        <v>4.0</v>
      </c>
      <c r="K21" s="20" t="b">
        <v>0</v>
      </c>
      <c r="L21" s="20" t="b">
        <v>0</v>
      </c>
      <c r="M21" s="1" t="s">
        <v>98</v>
      </c>
      <c r="N21" s="1" t="s">
        <v>99</v>
      </c>
      <c r="O21" s="1" t="s">
        <v>98</v>
      </c>
    </row>
    <row r="22">
      <c r="A22" s="19" t="s">
        <v>149</v>
      </c>
      <c r="B22" s="19">
        <v>0.4</v>
      </c>
      <c r="C22" s="19">
        <v>0.4</v>
      </c>
      <c r="D22" s="19">
        <v>0.45</v>
      </c>
      <c r="E22" s="19">
        <v>0.65</v>
      </c>
      <c r="F22" s="19">
        <v>0.65</v>
      </c>
      <c r="G22" s="19">
        <v>0.45</v>
      </c>
      <c r="H22" s="19">
        <v>0.5</v>
      </c>
      <c r="I22" s="19">
        <v>0.45</v>
      </c>
      <c r="J22" s="19">
        <v>4.0</v>
      </c>
      <c r="K22" s="19" t="b">
        <v>0</v>
      </c>
      <c r="L22" s="19" t="b">
        <v>1</v>
      </c>
      <c r="M22" s="14" t="s">
        <v>6</v>
      </c>
      <c r="N22" s="14" t="s">
        <v>6</v>
      </c>
      <c r="O22" s="14" t="s">
        <v>6</v>
      </c>
    </row>
    <row r="23">
      <c r="A23" s="20" t="s">
        <v>150</v>
      </c>
      <c r="B23" s="20">
        <v>0.2</v>
      </c>
      <c r="C23" s="20">
        <v>0.15</v>
      </c>
      <c r="D23" s="20">
        <v>0.5</v>
      </c>
      <c r="E23" s="20">
        <v>0.7</v>
      </c>
      <c r="F23" s="20">
        <v>0.35</v>
      </c>
      <c r="G23" s="20">
        <v>0.3</v>
      </c>
      <c r="H23" s="20">
        <v>0.75</v>
      </c>
      <c r="I23" s="20">
        <v>0.5</v>
      </c>
      <c r="J23" s="20">
        <v>4.0</v>
      </c>
      <c r="K23" s="20" t="b">
        <v>0</v>
      </c>
      <c r="L23" s="20" t="b">
        <v>0</v>
      </c>
      <c r="M23" s="1" t="s">
        <v>30</v>
      </c>
      <c r="N23" s="7" t="s">
        <v>12</v>
      </c>
      <c r="O23" s="1" t="s">
        <v>24</v>
      </c>
    </row>
    <row r="24">
      <c r="A24" s="19" t="s">
        <v>153</v>
      </c>
      <c r="B24" s="19">
        <v>0.9</v>
      </c>
      <c r="C24" s="19">
        <v>0.85</v>
      </c>
      <c r="D24" s="19">
        <v>0.1</v>
      </c>
      <c r="E24" s="19">
        <v>0.1</v>
      </c>
      <c r="F24" s="19">
        <v>0.05</v>
      </c>
      <c r="G24" s="19">
        <v>0.8</v>
      </c>
      <c r="H24" s="19">
        <v>0.1</v>
      </c>
      <c r="I24" s="19">
        <v>0.35</v>
      </c>
      <c r="J24" s="22">
        <v>5.0</v>
      </c>
      <c r="K24" s="19" t="b">
        <v>0</v>
      </c>
      <c r="L24" s="19" t="b">
        <v>0</v>
      </c>
      <c r="M24" s="14" t="s">
        <v>154</v>
      </c>
      <c r="N24" s="14" t="s">
        <v>154</v>
      </c>
      <c r="O24" s="14" t="s">
        <v>154</v>
      </c>
    </row>
    <row r="25">
      <c r="A25" s="19" t="s">
        <v>160</v>
      </c>
      <c r="B25" s="19">
        <v>0.25</v>
      </c>
      <c r="C25" s="19">
        <v>0.15</v>
      </c>
      <c r="D25" s="19">
        <v>0.55</v>
      </c>
      <c r="E25" s="19">
        <v>0.75</v>
      </c>
      <c r="F25" s="19">
        <v>0.6</v>
      </c>
      <c r="G25" s="19">
        <v>0.3</v>
      </c>
      <c r="H25" s="19">
        <v>0.75</v>
      </c>
      <c r="I25" s="19">
        <v>0.5</v>
      </c>
      <c r="J25" s="19">
        <v>3.0</v>
      </c>
      <c r="K25" s="19" t="b">
        <v>0</v>
      </c>
      <c r="L25" s="19" t="b">
        <v>0</v>
      </c>
      <c r="M25" s="1" t="s">
        <v>30</v>
      </c>
      <c r="N25" s="1" t="s">
        <v>42</v>
      </c>
      <c r="O25" s="1" t="s">
        <v>24</v>
      </c>
    </row>
    <row r="26">
      <c r="A26" s="20" t="s">
        <v>161</v>
      </c>
      <c r="B26" s="20">
        <v>0.1</v>
      </c>
      <c r="C26" s="20">
        <v>0.4</v>
      </c>
      <c r="D26" s="20">
        <v>0.35</v>
      </c>
      <c r="E26" s="20">
        <v>0.7</v>
      </c>
      <c r="F26" s="20">
        <v>0.9</v>
      </c>
      <c r="G26" s="20">
        <v>0.1</v>
      </c>
      <c r="H26" s="20">
        <v>0.3</v>
      </c>
      <c r="I26" s="20">
        <v>0.8</v>
      </c>
      <c r="J26" s="20">
        <v>1.0</v>
      </c>
      <c r="K26" s="20" t="b">
        <v>0</v>
      </c>
      <c r="L26" s="20" t="b">
        <v>1</v>
      </c>
      <c r="M26" s="1" t="s">
        <v>6</v>
      </c>
      <c r="N26" s="1" t="s">
        <v>6</v>
      </c>
      <c r="O26" s="1" t="s">
        <v>40</v>
      </c>
    </row>
    <row r="27">
      <c r="A27" s="19" t="s">
        <v>163</v>
      </c>
      <c r="B27" s="19">
        <v>1.0</v>
      </c>
      <c r="C27" s="19">
        <v>1.0</v>
      </c>
      <c r="D27" s="19">
        <v>0.01</v>
      </c>
      <c r="E27" s="19">
        <v>0.01</v>
      </c>
      <c r="F27" s="19">
        <v>0.01</v>
      </c>
      <c r="G27" s="19">
        <v>1.0</v>
      </c>
      <c r="H27" s="19">
        <v>0.01</v>
      </c>
      <c r="I27" s="19">
        <v>0.05</v>
      </c>
      <c r="J27" s="19">
        <v>7.0</v>
      </c>
      <c r="K27" s="19" t="b">
        <v>0</v>
      </c>
      <c r="L27" s="19" t="b">
        <v>0</v>
      </c>
      <c r="M27" s="1" t="s">
        <v>18</v>
      </c>
      <c r="N27" s="1" t="s">
        <v>18</v>
      </c>
      <c r="O27" s="1" t="s">
        <v>18</v>
      </c>
    </row>
    <row r="28">
      <c r="A28" s="20" t="s">
        <v>198</v>
      </c>
      <c r="B28" s="20">
        <v>0.25</v>
      </c>
      <c r="C28" s="20">
        <v>0.15</v>
      </c>
      <c r="D28" s="20">
        <v>0.5</v>
      </c>
      <c r="E28" s="20">
        <v>0.75</v>
      </c>
      <c r="F28" s="20">
        <v>0.25</v>
      </c>
      <c r="G28" s="20">
        <v>0.8</v>
      </c>
      <c r="H28" s="20">
        <v>0.6</v>
      </c>
      <c r="I28" s="20">
        <v>0.4</v>
      </c>
      <c r="J28" s="20">
        <v>3.0</v>
      </c>
      <c r="K28" s="20" t="b">
        <v>1</v>
      </c>
      <c r="L28" s="20" t="b">
        <v>1</v>
      </c>
      <c r="M28" s="1" t="s">
        <v>30</v>
      </c>
      <c r="N28" s="1" t="s">
        <v>17</v>
      </c>
      <c r="O28" s="1" t="s">
        <v>165</v>
      </c>
    </row>
    <row r="29">
      <c r="A29" s="20" t="s">
        <v>166</v>
      </c>
      <c r="B29" s="20">
        <v>0.5</v>
      </c>
      <c r="C29" s="20">
        <v>0.75</v>
      </c>
      <c r="D29" s="20">
        <v>0.5</v>
      </c>
      <c r="E29" s="20">
        <v>0.3</v>
      </c>
      <c r="F29" s="20">
        <v>0.4</v>
      </c>
      <c r="G29" s="20">
        <v>0.5</v>
      </c>
      <c r="H29" s="20">
        <v>0.4</v>
      </c>
      <c r="I29" s="20">
        <v>0.4</v>
      </c>
      <c r="J29" s="20">
        <v>3.0</v>
      </c>
      <c r="K29" s="20" t="b">
        <v>0</v>
      </c>
      <c r="L29" s="20" t="b">
        <v>0</v>
      </c>
      <c r="M29" s="7" t="s">
        <v>20</v>
      </c>
      <c r="N29" s="1" t="s">
        <v>6</v>
      </c>
      <c r="O29" s="1" t="s">
        <v>6</v>
      </c>
    </row>
    <row r="30">
      <c r="A30" s="19" t="s">
        <v>167</v>
      </c>
      <c r="B30" s="19">
        <v>0.15</v>
      </c>
      <c r="C30" s="19">
        <v>0.15</v>
      </c>
      <c r="D30" s="19">
        <v>0.8</v>
      </c>
      <c r="E30" s="19">
        <v>0.5</v>
      </c>
      <c r="F30" s="19">
        <v>0.15</v>
      </c>
      <c r="G30" s="19">
        <v>0.4</v>
      </c>
      <c r="H30" s="19">
        <v>0.6</v>
      </c>
      <c r="I30" s="19">
        <v>0.4</v>
      </c>
      <c r="J30" s="19">
        <v>5.0</v>
      </c>
      <c r="K30" s="19" t="b">
        <v>0</v>
      </c>
      <c r="L30" s="19" t="b">
        <v>0</v>
      </c>
      <c r="M30" s="1" t="s">
        <v>22</v>
      </c>
      <c r="N30" s="1" t="s">
        <v>6</v>
      </c>
      <c r="O30" s="1" t="s">
        <v>24</v>
      </c>
    </row>
    <row r="31">
      <c r="A31" s="20" t="s">
        <v>169</v>
      </c>
      <c r="B31" s="20">
        <v>0.05</v>
      </c>
      <c r="C31" s="20">
        <v>0.1</v>
      </c>
      <c r="D31" s="20">
        <v>0.05</v>
      </c>
      <c r="E31" s="20">
        <v>0.05</v>
      </c>
      <c r="F31" s="20">
        <v>0.05</v>
      </c>
      <c r="G31" s="20">
        <v>0.7</v>
      </c>
      <c r="H31" s="20">
        <v>0.95</v>
      </c>
      <c r="I31" s="20">
        <v>0.7</v>
      </c>
      <c r="J31" s="20">
        <v>3.0</v>
      </c>
      <c r="K31" s="20" t="b">
        <v>1</v>
      </c>
      <c r="L31" s="20" t="b">
        <v>1</v>
      </c>
      <c r="M31" s="1" t="s">
        <v>17</v>
      </c>
      <c r="N31" s="1" t="s">
        <v>17</v>
      </c>
      <c r="O31" s="1" t="s">
        <v>17</v>
      </c>
    </row>
  </sheetData>
  <autoFilter ref="$A$1:$Z$31"/>
  <conditionalFormatting sqref="B2:I31">
    <cfRule type="colorScale" priority="1">
      <colorScale>
        <cfvo type="min"/>
        <cfvo type="formula" val="0.4"/>
        <cfvo type="max"/>
        <color rgb="FFCC4125"/>
        <color rgb="FFFFE599"/>
        <color rgb="FF6AA84F"/>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25"/>
    <col customWidth="1" min="15" max="15" width="4.75"/>
    <col customWidth="1" min="16" max="16" width="8.13"/>
    <col customWidth="1" min="17" max="17" width="8.63"/>
    <col customWidth="1" min="18" max="18" width="9.38"/>
    <col customWidth="1" min="19" max="19" width="9.88"/>
  </cols>
  <sheetData>
    <row r="1">
      <c r="A1" s="18" t="s">
        <v>199</v>
      </c>
      <c r="B1" s="18" t="s">
        <v>200</v>
      </c>
      <c r="C1" s="18" t="s">
        <v>201</v>
      </c>
      <c r="F1" s="18" t="s">
        <v>200</v>
      </c>
      <c r="G1" s="18" t="s">
        <v>201</v>
      </c>
      <c r="H1" s="1" t="s">
        <v>202</v>
      </c>
      <c r="I1" s="1" t="s">
        <v>203</v>
      </c>
      <c r="J1" s="1" t="s">
        <v>204</v>
      </c>
      <c r="K1" s="1" t="s">
        <v>205</v>
      </c>
      <c r="L1" s="1" t="s">
        <v>206</v>
      </c>
      <c r="N1" s="1" t="s">
        <v>199</v>
      </c>
      <c r="O1" s="1" t="s">
        <v>204</v>
      </c>
      <c r="P1" s="1" t="s">
        <v>207</v>
      </c>
      <c r="Q1" s="1" t="s">
        <v>208</v>
      </c>
      <c r="R1" s="1" t="s">
        <v>209</v>
      </c>
      <c r="S1" s="1" t="s">
        <v>210</v>
      </c>
    </row>
    <row r="2">
      <c r="A2" s="19" t="s">
        <v>211</v>
      </c>
      <c r="B2" s="19">
        <v>0.85</v>
      </c>
      <c r="C2" s="19">
        <v>1.05</v>
      </c>
      <c r="E2" s="20" t="s">
        <v>212</v>
      </c>
      <c r="F2" s="20">
        <v>0.9</v>
      </c>
      <c r="G2" s="20">
        <v>0.85</v>
      </c>
      <c r="H2" s="1">
        <v>100.0</v>
      </c>
      <c r="I2" s="1">
        <v>100.0</v>
      </c>
      <c r="J2" s="1">
        <v>1932.0</v>
      </c>
      <c r="K2" s="1">
        <v>183.0</v>
      </c>
      <c r="L2" s="1">
        <v>181.8</v>
      </c>
      <c r="N2" s="20" t="s">
        <v>212</v>
      </c>
      <c r="O2" s="1">
        <v>1900.0</v>
      </c>
      <c r="P2" s="1">
        <v>47.1</v>
      </c>
      <c r="Q2" s="1">
        <v>203.29</v>
      </c>
      <c r="R2" s="1">
        <v>47.09</v>
      </c>
      <c r="S2" s="1">
        <v>203.25</v>
      </c>
    </row>
    <row r="3">
      <c r="A3" s="20" t="s">
        <v>213</v>
      </c>
      <c r="B3" s="20">
        <v>1.25</v>
      </c>
      <c r="C3" s="20">
        <v>1.0</v>
      </c>
      <c r="E3" s="20" t="s">
        <v>212</v>
      </c>
      <c r="F3" s="20">
        <v>0.9</v>
      </c>
      <c r="G3" s="20">
        <v>0.85</v>
      </c>
      <c r="H3" s="1">
        <v>0.0</v>
      </c>
      <c r="I3" s="1">
        <v>0.0</v>
      </c>
      <c r="J3" s="1">
        <v>1932.0</v>
      </c>
      <c r="K3" s="1">
        <v>42.39</v>
      </c>
      <c r="L3" s="1">
        <v>42.12</v>
      </c>
      <c r="N3" s="20" t="s">
        <v>214</v>
      </c>
      <c r="O3" s="1">
        <v>1900.0</v>
      </c>
      <c r="P3" s="23">
        <v>55.17</v>
      </c>
      <c r="Q3" s="23">
        <v>238.14</v>
      </c>
      <c r="R3" s="23">
        <v>55.16</v>
      </c>
      <c r="S3" s="24">
        <v>238.09</v>
      </c>
    </row>
    <row r="4">
      <c r="A4" s="19" t="s">
        <v>215</v>
      </c>
      <c r="B4" s="19">
        <v>1.5</v>
      </c>
      <c r="C4" s="19">
        <v>1.1</v>
      </c>
      <c r="E4" s="20" t="s">
        <v>214</v>
      </c>
      <c r="F4" s="20">
        <v>0.85</v>
      </c>
      <c r="G4" s="20">
        <v>1.2</v>
      </c>
      <c r="H4" s="1">
        <v>100.0</v>
      </c>
      <c r="I4" s="1">
        <v>100.0</v>
      </c>
      <c r="J4" s="1">
        <v>1932.0</v>
      </c>
      <c r="K4" s="1">
        <v>214.36</v>
      </c>
      <c r="L4" s="1">
        <v>212.97</v>
      </c>
      <c r="N4" s="19" t="s">
        <v>216</v>
      </c>
      <c r="O4" s="1">
        <v>1900.0</v>
      </c>
      <c r="P4" s="24">
        <v>80.73</v>
      </c>
      <c r="Q4" s="24">
        <v>348.49</v>
      </c>
      <c r="R4" s="24">
        <v>80.72</v>
      </c>
      <c r="S4" s="24">
        <v>348.42</v>
      </c>
    </row>
    <row r="5">
      <c r="A5" s="20" t="s">
        <v>214</v>
      </c>
      <c r="B5" s="20">
        <v>0.85</v>
      </c>
      <c r="C5" s="20">
        <v>1.2</v>
      </c>
      <c r="E5" s="20" t="s">
        <v>214</v>
      </c>
      <c r="F5" s="20">
        <v>0.85</v>
      </c>
      <c r="G5" s="20">
        <v>1.2</v>
      </c>
      <c r="H5" s="1">
        <v>0.0</v>
      </c>
      <c r="I5" s="1">
        <v>0.0</v>
      </c>
      <c r="J5" s="1">
        <v>1932.0</v>
      </c>
      <c r="K5" s="1">
        <v>49.66</v>
      </c>
      <c r="L5" s="1">
        <v>49.34</v>
      </c>
      <c r="N5" s="20" t="s">
        <v>213</v>
      </c>
      <c r="O5" s="1">
        <v>1900.0</v>
      </c>
      <c r="P5" s="23">
        <v>60.55</v>
      </c>
      <c r="Q5" s="23">
        <v>261.37</v>
      </c>
      <c r="R5" s="23">
        <v>60.54</v>
      </c>
      <c r="S5" s="23">
        <v>261.32</v>
      </c>
    </row>
    <row r="6">
      <c r="A6" s="19" t="s">
        <v>217</v>
      </c>
      <c r="B6" s="19">
        <v>1.2</v>
      </c>
      <c r="C6" s="19">
        <v>0.3</v>
      </c>
      <c r="E6" s="20" t="s">
        <v>213</v>
      </c>
      <c r="F6" s="20">
        <v>1.25</v>
      </c>
      <c r="G6" s="20">
        <v>1.0</v>
      </c>
      <c r="H6" s="1">
        <v>100.0</v>
      </c>
      <c r="I6" s="1">
        <v>100.0</v>
      </c>
      <c r="J6" s="1">
        <v>1932.0</v>
      </c>
      <c r="K6" s="1">
        <v>235.27</v>
      </c>
      <c r="L6" s="1">
        <v>233.74</v>
      </c>
      <c r="N6" s="19" t="s">
        <v>218</v>
      </c>
      <c r="O6" s="1">
        <v>1900.0</v>
      </c>
      <c r="P6" s="23">
        <v>34.98</v>
      </c>
      <c r="Q6" s="23">
        <v>151.01</v>
      </c>
      <c r="R6" s="23">
        <v>34.98</v>
      </c>
      <c r="S6" s="23">
        <v>150.98</v>
      </c>
    </row>
    <row r="7">
      <c r="A7" s="20" t="s">
        <v>219</v>
      </c>
      <c r="B7" s="20">
        <v>1.2</v>
      </c>
      <c r="C7" s="20">
        <v>0.3</v>
      </c>
      <c r="E7" s="20" t="s">
        <v>213</v>
      </c>
      <c r="F7" s="20">
        <v>1.25</v>
      </c>
      <c r="G7" s="20">
        <v>1.0</v>
      </c>
      <c r="H7" s="1">
        <v>0.0</v>
      </c>
      <c r="I7" s="1">
        <v>0.0</v>
      </c>
      <c r="J7" s="1">
        <v>1932.0</v>
      </c>
      <c r="K7" s="1">
        <v>54.51</v>
      </c>
      <c r="L7" s="1">
        <v>54.15</v>
      </c>
      <c r="N7" s="19" t="s">
        <v>217</v>
      </c>
      <c r="O7" s="1">
        <v>1900.0</v>
      </c>
      <c r="P7" s="23">
        <v>40.37</v>
      </c>
      <c r="Q7" s="23">
        <v>174.25</v>
      </c>
      <c r="R7" s="23">
        <v>40.36</v>
      </c>
      <c r="S7" s="23">
        <v>174.21</v>
      </c>
    </row>
    <row r="8">
      <c r="A8" s="19" t="s">
        <v>218</v>
      </c>
      <c r="B8" s="19">
        <v>0.65</v>
      </c>
      <c r="C8" s="19">
        <v>0.65</v>
      </c>
      <c r="E8" s="19" t="s">
        <v>216</v>
      </c>
      <c r="F8" s="19">
        <v>1.8</v>
      </c>
      <c r="G8" s="19">
        <v>1.2</v>
      </c>
      <c r="H8" s="1">
        <v>100.0</v>
      </c>
      <c r="I8" s="1">
        <v>100.0</v>
      </c>
      <c r="J8" s="1">
        <v>1932.0</v>
      </c>
      <c r="K8" s="1">
        <v>313.7</v>
      </c>
      <c r="L8" s="1">
        <v>311.66</v>
      </c>
      <c r="N8" s="25" t="s">
        <v>220</v>
      </c>
      <c r="O8" s="1">
        <v>1900.0</v>
      </c>
      <c r="P8" s="1">
        <v>37.94</v>
      </c>
      <c r="Q8" s="1">
        <v>163.79</v>
      </c>
      <c r="R8" s="1">
        <v>56.85</v>
      </c>
      <c r="S8" s="1">
        <v>245.39</v>
      </c>
    </row>
    <row r="9">
      <c r="A9" s="20" t="s">
        <v>221</v>
      </c>
      <c r="B9" s="20">
        <v>1.5</v>
      </c>
      <c r="C9" s="20">
        <v>1.5</v>
      </c>
      <c r="E9" s="19" t="s">
        <v>216</v>
      </c>
      <c r="F9" s="19">
        <v>1.8</v>
      </c>
      <c r="G9" s="19">
        <v>1.2</v>
      </c>
      <c r="H9" s="1">
        <v>0.0</v>
      </c>
      <c r="I9" s="1">
        <v>0.0</v>
      </c>
      <c r="J9" s="1">
        <v>1932.0</v>
      </c>
      <c r="K9" s="1">
        <v>72.67</v>
      </c>
      <c r="L9" s="1">
        <v>72.2</v>
      </c>
      <c r="N9" s="25" t="s">
        <v>215</v>
      </c>
      <c r="O9" s="1">
        <v>1900.0</v>
      </c>
      <c r="P9" s="1">
        <v>34.98</v>
      </c>
      <c r="Q9" s="1">
        <v>151.01</v>
      </c>
      <c r="R9" s="1">
        <v>69.96</v>
      </c>
      <c r="S9" s="1">
        <v>301.97</v>
      </c>
    </row>
    <row r="10">
      <c r="A10" s="19" t="s">
        <v>216</v>
      </c>
      <c r="B10" s="19">
        <v>1.8</v>
      </c>
      <c r="C10" s="19">
        <v>1.2</v>
      </c>
      <c r="E10" s="20" t="s">
        <v>220</v>
      </c>
      <c r="F10" s="26">
        <v>1.3</v>
      </c>
      <c r="G10" s="26">
        <v>0.85</v>
      </c>
      <c r="H10" s="1">
        <v>100.0</v>
      </c>
      <c r="I10" s="1">
        <v>100.0</v>
      </c>
      <c r="J10" s="1">
        <v>1932.0</v>
      </c>
      <c r="K10" s="1">
        <v>149.88</v>
      </c>
      <c r="L10" s="1">
        <v>223.36</v>
      </c>
      <c r="N10" s="20" t="s">
        <v>212</v>
      </c>
      <c r="O10" s="1">
        <v>1905.0</v>
      </c>
      <c r="P10" s="24">
        <v>46.33</v>
      </c>
      <c r="Q10" s="24">
        <v>199.97</v>
      </c>
      <c r="R10" s="1">
        <v>46.27</v>
      </c>
      <c r="S10" s="1">
        <v>199.74</v>
      </c>
    </row>
    <row r="11">
      <c r="A11" s="20" t="s">
        <v>212</v>
      </c>
      <c r="B11" s="20">
        <v>0.9</v>
      </c>
      <c r="C11" s="20">
        <v>0.85</v>
      </c>
      <c r="E11" s="20" t="s">
        <v>220</v>
      </c>
      <c r="F11" s="26">
        <v>1.3</v>
      </c>
      <c r="G11" s="26">
        <v>0.85</v>
      </c>
      <c r="H11" s="1">
        <v>0.0</v>
      </c>
      <c r="I11" s="1">
        <v>0.0</v>
      </c>
      <c r="J11" s="1">
        <v>1932.0</v>
      </c>
      <c r="K11" s="1">
        <v>34.72</v>
      </c>
      <c r="L11" s="1">
        <v>51.74</v>
      </c>
      <c r="N11" s="20" t="s">
        <v>214</v>
      </c>
      <c r="O11" s="1">
        <v>1905.0</v>
      </c>
      <c r="P11" s="24">
        <v>54.27</v>
      </c>
      <c r="Q11" s="24">
        <v>234.26</v>
      </c>
      <c r="R11" s="1">
        <v>54.21</v>
      </c>
      <c r="S11" s="1">
        <v>233.98</v>
      </c>
    </row>
    <row r="12">
      <c r="A12" s="19" t="s">
        <v>223</v>
      </c>
      <c r="B12" s="19">
        <v>1.85</v>
      </c>
      <c r="C12" s="19">
        <v>0.85</v>
      </c>
      <c r="E12" s="20" t="s">
        <v>222</v>
      </c>
      <c r="F12" s="20">
        <v>1.2</v>
      </c>
      <c r="G12" s="20">
        <v>0.95</v>
      </c>
      <c r="H12" s="1">
        <v>100.0</v>
      </c>
      <c r="I12" s="1">
        <v>100.0</v>
      </c>
      <c r="J12" s="1">
        <v>1932.0</v>
      </c>
      <c r="K12" s="1">
        <v>112.41</v>
      </c>
      <c r="L12" s="1">
        <v>223.36</v>
      </c>
      <c r="N12" s="19" t="s">
        <v>216</v>
      </c>
      <c r="O12" s="1">
        <v>1905.0</v>
      </c>
      <c r="P12" s="24">
        <v>79.42</v>
      </c>
      <c r="Q12" s="24">
        <v>342.81</v>
      </c>
      <c r="R12" s="24">
        <v>79.33</v>
      </c>
      <c r="S12" s="1">
        <v>342.41</v>
      </c>
    </row>
    <row r="13">
      <c r="A13" s="20" t="s">
        <v>220</v>
      </c>
      <c r="B13" s="26">
        <v>1.3</v>
      </c>
      <c r="C13" s="26">
        <v>0.85</v>
      </c>
      <c r="E13" s="20" t="s">
        <v>222</v>
      </c>
      <c r="F13" s="20">
        <v>1.2</v>
      </c>
      <c r="G13" s="20">
        <v>0.95</v>
      </c>
      <c r="H13" s="1">
        <v>0.0</v>
      </c>
      <c r="I13" s="1">
        <v>0.0</v>
      </c>
      <c r="J13" s="1">
        <v>1932.0</v>
      </c>
      <c r="K13" s="1">
        <v>26.04</v>
      </c>
      <c r="L13" s="1">
        <v>51.74</v>
      </c>
      <c r="N13" s="20" t="s">
        <v>213</v>
      </c>
      <c r="O13" s="1">
        <v>1905.0</v>
      </c>
      <c r="P13" s="24">
        <v>59.56</v>
      </c>
      <c r="Q13" s="24">
        <v>257.11</v>
      </c>
      <c r="R13" s="24">
        <v>59.49</v>
      </c>
      <c r="S13" s="1">
        <v>256.81</v>
      </c>
    </row>
    <row r="14">
      <c r="A14" s="19" t="s">
        <v>224</v>
      </c>
      <c r="B14" s="19">
        <v>0.7</v>
      </c>
      <c r="C14" s="19">
        <v>0.6</v>
      </c>
      <c r="E14" s="19" t="s">
        <v>217</v>
      </c>
      <c r="F14" s="19">
        <v>1.2</v>
      </c>
      <c r="G14" s="19">
        <v>0.3</v>
      </c>
      <c r="H14" s="1">
        <v>100.0</v>
      </c>
      <c r="I14" s="1">
        <v>100.0</v>
      </c>
      <c r="J14" s="1">
        <v>1932.0</v>
      </c>
      <c r="K14" s="1">
        <v>156.85</v>
      </c>
      <c r="L14" s="1">
        <v>155.83</v>
      </c>
      <c r="N14" s="19" t="s">
        <v>218</v>
      </c>
      <c r="O14" s="1">
        <v>1905.0</v>
      </c>
      <c r="P14" s="1">
        <v>34.41</v>
      </c>
      <c r="Q14" s="1">
        <v>148.55</v>
      </c>
      <c r="R14" s="1">
        <v>34.37</v>
      </c>
      <c r="S14" s="1">
        <v>148.38</v>
      </c>
    </row>
    <row r="15">
      <c r="A15" s="20" t="s">
        <v>222</v>
      </c>
      <c r="B15" s="20">
        <v>1.2</v>
      </c>
      <c r="C15" s="20">
        <v>0.95</v>
      </c>
      <c r="E15" s="19" t="s">
        <v>217</v>
      </c>
      <c r="F15" s="19">
        <v>1.2</v>
      </c>
      <c r="G15" s="19">
        <v>0.3</v>
      </c>
      <c r="H15" s="1">
        <v>0.0</v>
      </c>
      <c r="I15" s="1">
        <v>0.0</v>
      </c>
      <c r="J15" s="1">
        <v>1932.0</v>
      </c>
      <c r="K15" s="1">
        <v>36.34</v>
      </c>
      <c r="L15" s="1">
        <v>36.1</v>
      </c>
      <c r="N15" s="19" t="s">
        <v>217</v>
      </c>
      <c r="O15" s="1">
        <v>1905.0</v>
      </c>
      <c r="P15" s="1">
        <v>39.71</v>
      </c>
      <c r="Q15" s="1">
        <v>171.41</v>
      </c>
      <c r="R15" s="1">
        <v>39.66</v>
      </c>
      <c r="S15" s="1">
        <v>171.2</v>
      </c>
    </row>
    <row r="16">
      <c r="E16" s="19" t="s">
        <v>218</v>
      </c>
      <c r="F16" s="19">
        <v>0.65</v>
      </c>
      <c r="G16" s="19">
        <v>0.65</v>
      </c>
      <c r="H16" s="1">
        <v>100.0</v>
      </c>
      <c r="I16" s="1">
        <v>100.0</v>
      </c>
      <c r="J16" s="1">
        <v>1932.0</v>
      </c>
      <c r="K16" s="1">
        <v>135.93</v>
      </c>
      <c r="L16" s="1">
        <v>135.05</v>
      </c>
      <c r="N16" s="25" t="s">
        <v>220</v>
      </c>
      <c r="O16" s="1">
        <v>1905.0</v>
      </c>
      <c r="P16" s="1">
        <v>37.94</v>
      </c>
      <c r="Q16" s="1">
        <v>163.79</v>
      </c>
      <c r="R16" s="1">
        <v>56.85</v>
      </c>
      <c r="S16" s="1">
        <v>245.39</v>
      </c>
    </row>
    <row r="17">
      <c r="E17" s="19" t="s">
        <v>218</v>
      </c>
      <c r="F17" s="19">
        <v>0.65</v>
      </c>
      <c r="G17" s="19">
        <v>0.65</v>
      </c>
      <c r="H17" s="1">
        <v>0.0</v>
      </c>
      <c r="I17" s="1">
        <v>0.0</v>
      </c>
      <c r="J17" s="1">
        <v>1932.0</v>
      </c>
      <c r="K17" s="1">
        <v>31.49</v>
      </c>
      <c r="L17" s="1">
        <v>31.29</v>
      </c>
      <c r="N17" s="1" t="s">
        <v>222</v>
      </c>
      <c r="O17" s="1">
        <v>1905.0</v>
      </c>
      <c r="P17" s="1">
        <v>28.46</v>
      </c>
      <c r="Q17" s="1">
        <v>122.84</v>
      </c>
      <c r="R17" s="1">
        <v>56.85</v>
      </c>
      <c r="S17" s="1">
        <v>245.39</v>
      </c>
    </row>
    <row r="18">
      <c r="E18" s="20" t="s">
        <v>212</v>
      </c>
      <c r="F18" s="20">
        <v>0.9</v>
      </c>
      <c r="G18" s="20">
        <v>0.85</v>
      </c>
      <c r="H18" s="1">
        <v>100.0</v>
      </c>
      <c r="I18" s="1">
        <v>100.0</v>
      </c>
      <c r="J18" s="1">
        <v>1912.0</v>
      </c>
      <c r="K18" s="1">
        <v>195.43</v>
      </c>
      <c r="L18" s="1">
        <v>194.93</v>
      </c>
      <c r="N18" s="25" t="s">
        <v>215</v>
      </c>
      <c r="O18" s="1">
        <v>1905.0</v>
      </c>
      <c r="P18" s="1">
        <v>34.41</v>
      </c>
      <c r="Q18" s="1">
        <v>148.55</v>
      </c>
      <c r="R18" s="1">
        <v>68.75</v>
      </c>
      <c r="S18" s="1">
        <v>296.75</v>
      </c>
    </row>
    <row r="19">
      <c r="E19" s="20" t="s">
        <v>212</v>
      </c>
      <c r="F19" s="20">
        <v>0.9</v>
      </c>
      <c r="G19" s="20">
        <v>0.85</v>
      </c>
      <c r="H19" s="1">
        <v>0.0</v>
      </c>
      <c r="I19" s="1">
        <v>0.0</v>
      </c>
      <c r="J19" s="1">
        <v>1912.0</v>
      </c>
      <c r="K19" s="1">
        <v>45.27</v>
      </c>
      <c r="L19" s="1">
        <v>45.16</v>
      </c>
      <c r="N19" s="20" t="s">
        <v>212</v>
      </c>
      <c r="O19" s="1">
        <v>1910.0</v>
      </c>
      <c r="P19" s="1">
        <v>45.57</v>
      </c>
      <c r="Q19" s="1">
        <v>196.71</v>
      </c>
      <c r="R19" s="1">
        <v>45.47</v>
      </c>
      <c r="S19" s="1">
        <v>196.29</v>
      </c>
    </row>
    <row r="20">
      <c r="E20" s="20" t="s">
        <v>214</v>
      </c>
      <c r="F20" s="20">
        <v>0.85</v>
      </c>
      <c r="G20" s="20">
        <v>1.2</v>
      </c>
      <c r="H20" s="1">
        <v>100.0</v>
      </c>
      <c r="I20" s="1">
        <v>100.0</v>
      </c>
      <c r="J20" s="1">
        <v>1912.0</v>
      </c>
      <c r="K20" s="1">
        <v>228.93</v>
      </c>
      <c r="L20" s="1">
        <v>228.34</v>
      </c>
      <c r="N20" s="20" t="s">
        <v>214</v>
      </c>
      <c r="O20" s="1">
        <v>1910.0</v>
      </c>
      <c r="P20" s="1">
        <v>53.39</v>
      </c>
      <c r="Q20" s="1">
        <v>230.44</v>
      </c>
      <c r="R20" s="1">
        <v>53.27</v>
      </c>
      <c r="S20" s="1">
        <v>229.94</v>
      </c>
    </row>
    <row r="21">
      <c r="E21" s="20" t="s">
        <v>214</v>
      </c>
      <c r="F21" s="20">
        <v>0.85</v>
      </c>
      <c r="G21" s="20">
        <v>1.2</v>
      </c>
      <c r="H21" s="1">
        <v>0.0</v>
      </c>
      <c r="I21" s="1">
        <v>0.0</v>
      </c>
      <c r="J21" s="1">
        <v>1912.0</v>
      </c>
      <c r="K21" s="1">
        <v>53.04</v>
      </c>
      <c r="L21" s="1">
        <v>52.9</v>
      </c>
      <c r="N21" s="19" t="s">
        <v>216</v>
      </c>
      <c r="O21" s="1">
        <v>1910.0</v>
      </c>
      <c r="P21" s="1">
        <v>78.12</v>
      </c>
      <c r="Q21" s="1">
        <v>337.23</v>
      </c>
      <c r="R21" s="1">
        <v>77.96</v>
      </c>
      <c r="S21" s="1">
        <v>336.49</v>
      </c>
    </row>
    <row r="22">
      <c r="E22" s="20" t="s">
        <v>213</v>
      </c>
      <c r="F22" s="20">
        <v>1.25</v>
      </c>
      <c r="G22" s="20">
        <v>1.0</v>
      </c>
      <c r="H22" s="1">
        <v>100.0</v>
      </c>
      <c r="I22" s="1">
        <v>100.0</v>
      </c>
      <c r="J22" s="1">
        <v>1912.0</v>
      </c>
      <c r="K22" s="1">
        <v>251.26</v>
      </c>
      <c r="L22" s="1">
        <v>250.62</v>
      </c>
      <c r="N22" s="20" t="s">
        <v>213</v>
      </c>
      <c r="O22" s="1">
        <v>1910.0</v>
      </c>
      <c r="P22" s="1">
        <v>58.59</v>
      </c>
      <c r="Q22" s="1">
        <v>252.92</v>
      </c>
      <c r="R22" s="1">
        <v>58.47</v>
      </c>
      <c r="S22" s="1">
        <v>252.37</v>
      </c>
    </row>
    <row r="23">
      <c r="E23" s="20" t="s">
        <v>213</v>
      </c>
      <c r="F23" s="20">
        <v>1.25</v>
      </c>
      <c r="G23" s="20">
        <v>1.0</v>
      </c>
      <c r="H23" s="1">
        <v>0.0</v>
      </c>
      <c r="I23" s="1">
        <v>0.0</v>
      </c>
      <c r="J23" s="1">
        <v>1912.0</v>
      </c>
      <c r="K23" s="1">
        <v>58.21</v>
      </c>
      <c r="L23" s="1">
        <v>58.06</v>
      </c>
      <c r="N23" s="19" t="s">
        <v>218</v>
      </c>
      <c r="O23" s="1">
        <v>1910.0</v>
      </c>
      <c r="P23" s="1">
        <v>33.85</v>
      </c>
      <c r="Q23" s="1">
        <v>146.13</v>
      </c>
      <c r="R23" s="1">
        <v>33.78</v>
      </c>
      <c r="S23" s="1">
        <v>145.81</v>
      </c>
    </row>
    <row r="24">
      <c r="E24" s="19" t="s">
        <v>218</v>
      </c>
      <c r="F24" s="19">
        <v>0.65</v>
      </c>
      <c r="G24" s="19">
        <v>0.65</v>
      </c>
      <c r="H24" s="1">
        <v>100.0</v>
      </c>
      <c r="I24" s="1">
        <v>100.0</v>
      </c>
      <c r="J24" s="1">
        <v>1912.0</v>
      </c>
      <c r="K24" s="1">
        <v>145.17</v>
      </c>
      <c r="L24" s="1">
        <v>144.8</v>
      </c>
      <c r="N24" s="19" t="s">
        <v>217</v>
      </c>
      <c r="O24" s="1">
        <v>1910.0</v>
      </c>
      <c r="P24" s="1">
        <v>39.06</v>
      </c>
      <c r="Q24" s="1">
        <v>168.61</v>
      </c>
      <c r="R24" s="1">
        <v>38.98</v>
      </c>
      <c r="S24" s="1">
        <v>168.25</v>
      </c>
    </row>
    <row r="25">
      <c r="E25" s="19" t="s">
        <v>218</v>
      </c>
      <c r="F25" s="19">
        <v>0.65</v>
      </c>
      <c r="G25" s="19">
        <v>0.65</v>
      </c>
      <c r="H25" s="1">
        <v>0.0</v>
      </c>
      <c r="I25" s="1">
        <v>0.0</v>
      </c>
      <c r="J25" s="1">
        <v>1912.0</v>
      </c>
      <c r="K25" s="1">
        <v>33.63</v>
      </c>
      <c r="L25" s="1">
        <v>33.55</v>
      </c>
      <c r="N25" s="25" t="s">
        <v>220</v>
      </c>
      <c r="O25" s="1">
        <v>1910.0</v>
      </c>
      <c r="P25" s="1">
        <v>37.33</v>
      </c>
      <c r="Q25" s="1">
        <v>161.12</v>
      </c>
      <c r="R25" s="1">
        <v>55.87</v>
      </c>
      <c r="S25" s="1">
        <v>241.15</v>
      </c>
    </row>
    <row r="26">
      <c r="E26" s="19" t="s">
        <v>217</v>
      </c>
      <c r="F26" s="19">
        <v>1.2</v>
      </c>
      <c r="G26" s="19">
        <v>0.3</v>
      </c>
      <c r="H26" s="1">
        <v>100.0</v>
      </c>
      <c r="I26" s="1">
        <v>100.0</v>
      </c>
      <c r="J26" s="1">
        <v>1912.0</v>
      </c>
      <c r="K26" s="1">
        <v>167.51</v>
      </c>
      <c r="L26" s="1">
        <v>167.08</v>
      </c>
      <c r="N26" s="1" t="s">
        <v>222</v>
      </c>
      <c r="O26" s="1">
        <v>1910.0</v>
      </c>
      <c r="P26" s="1">
        <v>27.99</v>
      </c>
      <c r="Q26" s="1">
        <v>120.84</v>
      </c>
      <c r="R26" s="1">
        <v>55.87</v>
      </c>
      <c r="S26" s="1">
        <v>241.15</v>
      </c>
    </row>
    <row r="27">
      <c r="E27" s="19" t="s">
        <v>217</v>
      </c>
      <c r="F27" s="19">
        <v>1.2</v>
      </c>
      <c r="G27" s="19">
        <v>0.3</v>
      </c>
      <c r="H27" s="1">
        <v>0.0</v>
      </c>
      <c r="I27" s="1">
        <v>0.0</v>
      </c>
      <c r="J27" s="1">
        <v>1912.0</v>
      </c>
      <c r="K27" s="1">
        <v>38.81</v>
      </c>
      <c r="L27" s="1">
        <v>38.71</v>
      </c>
      <c r="N27" s="25" t="s">
        <v>215</v>
      </c>
      <c r="O27" s="1">
        <v>1910.0</v>
      </c>
      <c r="P27" s="1">
        <v>33.85</v>
      </c>
      <c r="Q27" s="1">
        <v>146.13</v>
      </c>
      <c r="R27" s="1">
        <v>67.56</v>
      </c>
      <c r="S27" s="1">
        <v>291.63</v>
      </c>
    </row>
    <row r="28">
      <c r="E28" s="20" t="s">
        <v>212</v>
      </c>
      <c r="F28" s="20">
        <v>0.9</v>
      </c>
      <c r="G28" s="20">
        <v>0.85</v>
      </c>
      <c r="H28" s="1">
        <v>100.0</v>
      </c>
      <c r="I28" s="1">
        <v>100.0</v>
      </c>
      <c r="J28" s="1">
        <v>1900.0</v>
      </c>
      <c r="K28" s="1">
        <v>203.29</v>
      </c>
      <c r="L28" s="1">
        <v>200.07</v>
      </c>
      <c r="N28" s="20" t="s">
        <v>212</v>
      </c>
      <c r="O28" s="1">
        <v>1915.0</v>
      </c>
      <c r="P28" s="1">
        <v>44.83</v>
      </c>
      <c r="Q28" s="1">
        <v>193.51</v>
      </c>
      <c r="R28" s="1">
        <v>44.69</v>
      </c>
      <c r="S28" s="1">
        <v>192.9</v>
      </c>
    </row>
    <row r="29">
      <c r="E29" s="20" t="s">
        <v>212</v>
      </c>
      <c r="F29" s="20">
        <v>0.9</v>
      </c>
      <c r="G29" s="20">
        <v>0.85</v>
      </c>
      <c r="H29" s="1">
        <v>0.0</v>
      </c>
      <c r="I29" s="1">
        <v>0.0</v>
      </c>
      <c r="J29" s="1">
        <v>1900.0</v>
      </c>
      <c r="K29" s="1">
        <v>47.1</v>
      </c>
      <c r="L29" s="1">
        <v>47.09</v>
      </c>
      <c r="N29" s="20" t="s">
        <v>214</v>
      </c>
      <c r="O29" s="1">
        <v>1915.0</v>
      </c>
      <c r="P29" s="1">
        <v>52.52</v>
      </c>
      <c r="Q29" s="1">
        <v>226.68</v>
      </c>
      <c r="R29" s="1">
        <v>52.35</v>
      </c>
      <c r="S29" s="1">
        <v>225.97</v>
      </c>
    </row>
    <row r="30">
      <c r="E30" s="20" t="s">
        <v>214</v>
      </c>
      <c r="F30" s="20">
        <v>0.85</v>
      </c>
      <c r="G30" s="20">
        <v>1.2</v>
      </c>
      <c r="H30" s="1">
        <v>100.0</v>
      </c>
      <c r="I30" s="1">
        <v>100.0</v>
      </c>
      <c r="J30" s="1">
        <v>1900.0</v>
      </c>
      <c r="K30" s="1">
        <v>238.14</v>
      </c>
      <c r="L30" s="1">
        <v>234.37</v>
      </c>
      <c r="N30" s="19" t="s">
        <v>216</v>
      </c>
      <c r="O30" s="1">
        <v>1915.0</v>
      </c>
      <c r="P30" s="1">
        <v>76.85</v>
      </c>
      <c r="Q30" s="1">
        <v>331.73</v>
      </c>
      <c r="R30" s="1">
        <v>76.61</v>
      </c>
      <c r="S30" s="1">
        <v>330.68</v>
      </c>
    </row>
    <row r="31">
      <c r="E31" s="20" t="s">
        <v>214</v>
      </c>
      <c r="F31" s="20">
        <v>0.85</v>
      </c>
      <c r="G31" s="20">
        <v>1.2</v>
      </c>
      <c r="H31" s="1">
        <v>0.0</v>
      </c>
      <c r="I31" s="1">
        <v>0.0</v>
      </c>
      <c r="J31" s="1">
        <v>1900.0</v>
      </c>
      <c r="K31" s="1">
        <v>55.17</v>
      </c>
      <c r="L31" s="1">
        <v>55.16</v>
      </c>
      <c r="N31" s="20" t="s">
        <v>213</v>
      </c>
      <c r="O31" s="1">
        <v>1915.0</v>
      </c>
      <c r="P31" s="1">
        <v>57.64</v>
      </c>
      <c r="Q31" s="1">
        <v>248.8</v>
      </c>
      <c r="R31" s="1">
        <v>57.46</v>
      </c>
      <c r="S31" s="1">
        <v>248.01</v>
      </c>
    </row>
    <row r="32">
      <c r="E32" s="20" t="s">
        <v>213</v>
      </c>
      <c r="F32" s="20">
        <v>1.25</v>
      </c>
      <c r="G32" s="20">
        <v>1.0</v>
      </c>
      <c r="H32" s="1">
        <v>100.0</v>
      </c>
      <c r="I32" s="1">
        <v>100.0</v>
      </c>
      <c r="J32" s="1">
        <v>1900.0</v>
      </c>
      <c r="K32" s="1">
        <v>261.37</v>
      </c>
      <c r="L32" s="1">
        <v>261.32</v>
      </c>
      <c r="N32" s="19" t="s">
        <v>218</v>
      </c>
      <c r="O32" s="1">
        <v>1915.0</v>
      </c>
      <c r="P32" s="1">
        <v>33.3</v>
      </c>
      <c r="Q32" s="1">
        <v>143.75</v>
      </c>
      <c r="R32" s="1">
        <v>33.2</v>
      </c>
      <c r="S32" s="1">
        <v>143.3</v>
      </c>
    </row>
    <row r="33">
      <c r="E33" s="20" t="s">
        <v>213</v>
      </c>
      <c r="F33" s="20">
        <v>1.25</v>
      </c>
      <c r="G33" s="20">
        <v>1.0</v>
      </c>
      <c r="H33" s="1">
        <v>0.0</v>
      </c>
      <c r="I33" s="1">
        <v>0.0</v>
      </c>
      <c r="J33" s="1">
        <v>1900.0</v>
      </c>
      <c r="K33" s="1">
        <v>60.55</v>
      </c>
      <c r="L33" s="1">
        <v>60.54</v>
      </c>
      <c r="N33" s="19" t="s">
        <v>217</v>
      </c>
      <c r="O33" s="1">
        <v>1915.0</v>
      </c>
      <c r="P33" s="1">
        <v>38.43</v>
      </c>
      <c r="Q33" s="1">
        <v>165.87</v>
      </c>
      <c r="R33" s="1">
        <v>38.3</v>
      </c>
      <c r="S33" s="1">
        <v>165.34</v>
      </c>
    </row>
    <row r="34">
      <c r="E34" s="19" t="s">
        <v>218</v>
      </c>
      <c r="F34" s="19">
        <v>0.65</v>
      </c>
      <c r="G34" s="19">
        <v>0.65</v>
      </c>
      <c r="H34" s="1">
        <v>100.0</v>
      </c>
      <c r="I34" s="1">
        <v>100.0</v>
      </c>
      <c r="J34" s="1">
        <v>1900.0</v>
      </c>
      <c r="K34" s="1">
        <v>151.01</v>
      </c>
      <c r="L34" s="1">
        <v>150.98</v>
      </c>
      <c r="N34" s="25" t="s">
        <v>220</v>
      </c>
      <c r="O34" s="1">
        <v>1915.0</v>
      </c>
      <c r="P34" s="1">
        <v>36.72</v>
      </c>
      <c r="Q34" s="1">
        <v>158.49</v>
      </c>
      <c r="R34" s="1">
        <v>54.9</v>
      </c>
      <c r="S34" s="1">
        <v>236.99</v>
      </c>
    </row>
    <row r="35">
      <c r="E35" s="19" t="s">
        <v>218</v>
      </c>
      <c r="F35" s="19">
        <v>0.65</v>
      </c>
      <c r="G35" s="19">
        <v>0.65</v>
      </c>
      <c r="H35" s="1">
        <v>0.0</v>
      </c>
      <c r="I35" s="1">
        <v>0.0</v>
      </c>
      <c r="J35" s="1">
        <v>1900.0</v>
      </c>
      <c r="K35" s="1">
        <v>34.98</v>
      </c>
      <c r="L35" s="1">
        <v>34.98</v>
      </c>
      <c r="N35" s="1" t="s">
        <v>222</v>
      </c>
      <c r="O35" s="1">
        <v>1915.0</v>
      </c>
      <c r="P35" s="1">
        <v>27.54</v>
      </c>
      <c r="Q35" s="1">
        <v>118.87</v>
      </c>
      <c r="R35" s="1">
        <v>54.9</v>
      </c>
      <c r="S35" s="1">
        <v>236.99</v>
      </c>
    </row>
    <row r="36">
      <c r="E36" s="19" t="s">
        <v>217</v>
      </c>
      <c r="F36" s="19">
        <v>1.2</v>
      </c>
      <c r="G36" s="19">
        <v>0.3</v>
      </c>
      <c r="H36" s="1">
        <v>100.0</v>
      </c>
      <c r="I36" s="1">
        <v>100.0</v>
      </c>
      <c r="J36" s="1">
        <v>1900.0</v>
      </c>
      <c r="K36" s="1">
        <v>174.25</v>
      </c>
      <c r="L36" s="1">
        <v>174.21</v>
      </c>
      <c r="N36" s="25" t="s">
        <v>215</v>
      </c>
      <c r="O36" s="1">
        <v>1915.0</v>
      </c>
      <c r="P36" s="1">
        <v>33.3</v>
      </c>
      <c r="Q36" s="1">
        <v>143.75</v>
      </c>
      <c r="R36" s="1">
        <v>66.39</v>
      </c>
      <c r="S36" s="1">
        <v>286.59</v>
      </c>
    </row>
    <row r="37">
      <c r="E37" s="19" t="s">
        <v>217</v>
      </c>
      <c r="F37" s="19">
        <v>1.2</v>
      </c>
      <c r="G37" s="19">
        <v>0.3</v>
      </c>
      <c r="H37" s="1">
        <v>0.0</v>
      </c>
      <c r="I37" s="1">
        <v>0.0</v>
      </c>
      <c r="J37" s="1">
        <v>1900.0</v>
      </c>
      <c r="K37" s="1">
        <v>40.37</v>
      </c>
      <c r="L37" s="1">
        <v>40.36</v>
      </c>
      <c r="N37" s="20" t="s">
        <v>212</v>
      </c>
      <c r="O37" s="1">
        <v>1920.0</v>
      </c>
      <c r="P37" s="1">
        <v>44.1</v>
      </c>
      <c r="Q37" s="1">
        <v>190.36</v>
      </c>
      <c r="R37" s="1">
        <v>43.92</v>
      </c>
      <c r="S37" s="1">
        <v>189.57</v>
      </c>
    </row>
    <row r="38">
      <c r="E38" s="20" t="s">
        <v>212</v>
      </c>
      <c r="F38" s="20">
        <v>0.9</v>
      </c>
      <c r="G38" s="20">
        <v>0.85</v>
      </c>
      <c r="H38" s="1">
        <v>100.0</v>
      </c>
      <c r="I38" s="1">
        <v>100.0</v>
      </c>
      <c r="J38" s="1">
        <v>1958.0</v>
      </c>
      <c r="K38" s="1">
        <v>167.99</v>
      </c>
      <c r="L38" s="1">
        <v>166.04</v>
      </c>
      <c r="N38" s="20" t="s">
        <v>214</v>
      </c>
      <c r="O38" s="1">
        <v>1920.0</v>
      </c>
      <c r="P38" s="1">
        <v>51.66</v>
      </c>
      <c r="Q38" s="1">
        <v>222.99</v>
      </c>
      <c r="R38" s="1">
        <v>51.45</v>
      </c>
      <c r="S38" s="1">
        <v>222.06</v>
      </c>
    </row>
    <row r="39">
      <c r="E39" s="20" t="s">
        <v>212</v>
      </c>
      <c r="F39" s="20">
        <v>0.9</v>
      </c>
      <c r="G39" s="20">
        <v>0.85</v>
      </c>
      <c r="H39" s="1">
        <v>0.0</v>
      </c>
      <c r="I39" s="1">
        <v>0.0</v>
      </c>
      <c r="J39" s="1">
        <v>1958.0</v>
      </c>
      <c r="K39" s="1">
        <v>38.92</v>
      </c>
      <c r="L39" s="1">
        <v>38.47</v>
      </c>
      <c r="N39" s="19" t="s">
        <v>216</v>
      </c>
      <c r="O39" s="1">
        <v>1920.0</v>
      </c>
      <c r="P39" s="1">
        <v>75.6</v>
      </c>
      <c r="Q39" s="1">
        <v>326.32</v>
      </c>
      <c r="R39" s="1">
        <v>75.29</v>
      </c>
      <c r="S39" s="1">
        <v>324.97</v>
      </c>
    </row>
    <row r="40">
      <c r="E40" s="20" t="s">
        <v>214</v>
      </c>
      <c r="F40" s="20">
        <v>0.85</v>
      </c>
      <c r="G40" s="20">
        <v>1.2</v>
      </c>
      <c r="H40" s="1">
        <v>100.0</v>
      </c>
      <c r="I40" s="1">
        <v>100.0</v>
      </c>
      <c r="J40" s="1">
        <v>1958.0</v>
      </c>
      <c r="K40" s="1">
        <v>196.79</v>
      </c>
      <c r="L40" s="1">
        <v>194.51</v>
      </c>
      <c r="N40" s="20" t="s">
        <v>213</v>
      </c>
      <c r="O40" s="1">
        <v>1920.0</v>
      </c>
      <c r="P40" s="1">
        <v>56.7</v>
      </c>
      <c r="Q40" s="1">
        <v>244.74</v>
      </c>
      <c r="R40" s="1">
        <v>56.46</v>
      </c>
      <c r="S40" s="1">
        <v>243.73</v>
      </c>
    </row>
    <row r="41">
      <c r="E41" s="20" t="s">
        <v>214</v>
      </c>
      <c r="F41" s="20">
        <v>0.85</v>
      </c>
      <c r="G41" s="20">
        <v>1.2</v>
      </c>
      <c r="H41" s="1">
        <v>0.0</v>
      </c>
      <c r="I41" s="1">
        <v>0.0</v>
      </c>
      <c r="J41" s="1">
        <v>1958.0</v>
      </c>
      <c r="K41" s="1">
        <v>45.59</v>
      </c>
      <c r="L41" s="1">
        <v>45.06</v>
      </c>
      <c r="N41" s="19" t="s">
        <v>218</v>
      </c>
      <c r="O41" s="1">
        <v>1920.0</v>
      </c>
      <c r="P41" s="1">
        <v>32.76</v>
      </c>
      <c r="Q41" s="1">
        <v>141.41</v>
      </c>
      <c r="R41" s="1">
        <v>32.62</v>
      </c>
      <c r="S41" s="1">
        <v>140.82</v>
      </c>
    </row>
    <row r="42">
      <c r="E42" s="20" t="s">
        <v>213</v>
      </c>
      <c r="F42" s="20">
        <v>1.25</v>
      </c>
      <c r="G42" s="20">
        <v>1.0</v>
      </c>
      <c r="H42" s="1">
        <v>100.0</v>
      </c>
      <c r="I42" s="1">
        <v>100.0</v>
      </c>
      <c r="J42" s="1">
        <v>1958.0</v>
      </c>
      <c r="K42" s="1">
        <v>215.99</v>
      </c>
      <c r="L42" s="1">
        <v>213.48</v>
      </c>
      <c r="N42" s="19" t="s">
        <v>217</v>
      </c>
      <c r="O42" s="1">
        <v>1920.0</v>
      </c>
      <c r="P42" s="1">
        <v>37.8</v>
      </c>
      <c r="Q42" s="1">
        <v>163.16</v>
      </c>
      <c r="R42" s="1">
        <v>37.64</v>
      </c>
      <c r="S42" s="1">
        <v>162.49</v>
      </c>
    </row>
    <row r="43">
      <c r="E43" s="20" t="s">
        <v>213</v>
      </c>
      <c r="F43" s="20">
        <v>1.25</v>
      </c>
      <c r="G43" s="20">
        <v>1.0</v>
      </c>
      <c r="H43" s="1">
        <v>0.0</v>
      </c>
      <c r="I43" s="1">
        <v>0.0</v>
      </c>
      <c r="J43" s="1">
        <v>1958.0</v>
      </c>
      <c r="K43" s="1">
        <v>50.04</v>
      </c>
      <c r="L43" s="1">
        <v>49.46</v>
      </c>
      <c r="N43" s="25" t="s">
        <v>220</v>
      </c>
      <c r="O43" s="1">
        <v>1920.0</v>
      </c>
      <c r="P43" s="1">
        <v>36.12</v>
      </c>
      <c r="Q43" s="1">
        <v>155.91</v>
      </c>
      <c r="R43" s="1">
        <v>53.95</v>
      </c>
      <c r="S43" s="1">
        <v>232.9</v>
      </c>
    </row>
    <row r="44">
      <c r="E44" s="19" t="s">
        <v>216</v>
      </c>
      <c r="F44" s="19">
        <v>1.8</v>
      </c>
      <c r="G44" s="19">
        <v>1.2</v>
      </c>
      <c r="H44" s="1">
        <v>100.0</v>
      </c>
      <c r="I44" s="1">
        <v>100.0</v>
      </c>
      <c r="J44" s="1">
        <v>1958.0</v>
      </c>
      <c r="K44" s="1">
        <v>287.98</v>
      </c>
      <c r="L44" s="1">
        <v>284.64</v>
      </c>
      <c r="N44" s="1" t="s">
        <v>222</v>
      </c>
      <c r="O44" s="1">
        <v>1920.0</v>
      </c>
      <c r="P44" s="1">
        <v>27.09</v>
      </c>
      <c r="Q44" s="1">
        <v>116.93</v>
      </c>
      <c r="R44" s="1">
        <v>53.95</v>
      </c>
      <c r="S44" s="1">
        <v>232.9</v>
      </c>
    </row>
    <row r="45">
      <c r="E45" s="19" t="s">
        <v>216</v>
      </c>
      <c r="F45" s="19">
        <v>1.8</v>
      </c>
      <c r="G45" s="19">
        <v>1.2</v>
      </c>
      <c r="H45" s="1">
        <v>0.0</v>
      </c>
      <c r="I45" s="1">
        <v>0.0</v>
      </c>
      <c r="J45" s="1">
        <v>1958.0</v>
      </c>
      <c r="K45" s="1">
        <v>66.72</v>
      </c>
      <c r="L45" s="1">
        <v>65.94</v>
      </c>
      <c r="N45" s="25" t="s">
        <v>215</v>
      </c>
      <c r="O45" s="1">
        <v>1920.0</v>
      </c>
      <c r="P45" s="1">
        <v>32.76</v>
      </c>
      <c r="Q45" s="1">
        <v>141.41</v>
      </c>
      <c r="R45" s="1">
        <v>65.25</v>
      </c>
      <c r="S45" s="1">
        <v>281.64</v>
      </c>
    </row>
    <row r="46">
      <c r="E46" s="20" t="s">
        <v>220</v>
      </c>
      <c r="F46" s="26">
        <v>1.3</v>
      </c>
      <c r="G46" s="26">
        <v>0.85</v>
      </c>
      <c r="H46" s="1">
        <v>100.0</v>
      </c>
      <c r="I46" s="1">
        <v>100.0</v>
      </c>
      <c r="J46" s="1">
        <v>1958.0</v>
      </c>
      <c r="K46" s="1">
        <v>137.59</v>
      </c>
      <c r="L46" s="1">
        <v>204.0</v>
      </c>
      <c r="N46" s="20" t="s">
        <v>212</v>
      </c>
      <c r="O46" s="1">
        <v>1925.0</v>
      </c>
      <c r="P46" s="1">
        <v>43.38</v>
      </c>
      <c r="Q46" s="1">
        <v>187.25</v>
      </c>
      <c r="R46" s="1">
        <v>43.16</v>
      </c>
      <c r="S46" s="1">
        <v>186.29</v>
      </c>
    </row>
    <row r="47">
      <c r="E47" s="20" t="s">
        <v>220</v>
      </c>
      <c r="F47" s="26">
        <v>1.3</v>
      </c>
      <c r="G47" s="26">
        <v>0.85</v>
      </c>
      <c r="H47" s="1">
        <v>0.0</v>
      </c>
      <c r="I47" s="1">
        <v>0.0</v>
      </c>
      <c r="J47" s="1">
        <v>1958.0</v>
      </c>
      <c r="K47" s="1">
        <v>31.88</v>
      </c>
      <c r="L47" s="1">
        <v>47.26</v>
      </c>
      <c r="N47" s="20" t="s">
        <v>214</v>
      </c>
      <c r="O47" s="1">
        <v>1925.0</v>
      </c>
      <c r="P47" s="1">
        <v>50.82</v>
      </c>
      <c r="Q47" s="1">
        <v>219.35</v>
      </c>
      <c r="R47" s="1">
        <v>50.56</v>
      </c>
      <c r="S47" s="1">
        <v>218.23</v>
      </c>
    </row>
    <row r="48">
      <c r="E48" s="20" t="s">
        <v>222</v>
      </c>
      <c r="F48" s="20">
        <v>1.2</v>
      </c>
      <c r="G48" s="20">
        <v>0.95</v>
      </c>
      <c r="H48" s="1">
        <v>100.0</v>
      </c>
      <c r="I48" s="1">
        <v>100.0</v>
      </c>
      <c r="J48" s="1">
        <v>1958.0</v>
      </c>
      <c r="K48" s="1">
        <v>103.19</v>
      </c>
      <c r="L48" s="1">
        <v>204.0</v>
      </c>
      <c r="N48" s="19" t="s">
        <v>216</v>
      </c>
      <c r="O48" s="1">
        <v>1925.0</v>
      </c>
      <c r="P48" s="1">
        <v>74.37</v>
      </c>
      <c r="Q48" s="1">
        <v>321.0</v>
      </c>
      <c r="R48" s="1">
        <v>73.98</v>
      </c>
      <c r="S48" s="1">
        <v>319.36</v>
      </c>
    </row>
    <row r="49">
      <c r="E49" s="20" t="s">
        <v>222</v>
      </c>
      <c r="F49" s="20">
        <v>1.2</v>
      </c>
      <c r="G49" s="20">
        <v>0.95</v>
      </c>
      <c r="H49" s="1">
        <v>0.0</v>
      </c>
      <c r="I49" s="1">
        <v>0.0</v>
      </c>
      <c r="J49" s="1">
        <v>1958.0</v>
      </c>
      <c r="K49" s="1">
        <v>23.91</v>
      </c>
      <c r="L49" s="1">
        <v>47.26</v>
      </c>
      <c r="N49" s="20" t="s">
        <v>213</v>
      </c>
      <c r="O49" s="1">
        <v>1925.0</v>
      </c>
      <c r="P49" s="1">
        <v>55.77</v>
      </c>
      <c r="Q49" s="1">
        <v>240.75</v>
      </c>
      <c r="R49" s="1">
        <v>55.49</v>
      </c>
      <c r="S49" s="1">
        <v>239.52</v>
      </c>
    </row>
    <row r="50">
      <c r="E50" s="19" t="s">
        <v>217</v>
      </c>
      <c r="F50" s="19">
        <v>1.2</v>
      </c>
      <c r="G50" s="19">
        <v>0.3</v>
      </c>
      <c r="H50" s="1">
        <v>100.0</v>
      </c>
      <c r="I50" s="1">
        <v>100.0</v>
      </c>
      <c r="J50" s="1">
        <v>1958.0</v>
      </c>
      <c r="K50" s="1">
        <v>143.99</v>
      </c>
      <c r="L50" s="1">
        <v>142.32</v>
      </c>
      <c r="N50" s="19" t="s">
        <v>218</v>
      </c>
      <c r="O50" s="1">
        <v>1925.0</v>
      </c>
      <c r="P50" s="1">
        <v>32.23</v>
      </c>
      <c r="Q50" s="1">
        <v>139.1</v>
      </c>
      <c r="R50" s="1">
        <v>32.06</v>
      </c>
      <c r="S50" s="1">
        <v>138.39</v>
      </c>
    </row>
    <row r="51">
      <c r="E51" s="19" t="s">
        <v>217</v>
      </c>
      <c r="F51" s="19">
        <v>1.2</v>
      </c>
      <c r="G51" s="19">
        <v>0.3</v>
      </c>
      <c r="H51" s="1">
        <v>0.0</v>
      </c>
      <c r="I51" s="1">
        <v>0.0</v>
      </c>
      <c r="J51" s="1">
        <v>1958.0</v>
      </c>
      <c r="K51" s="1">
        <v>33.36</v>
      </c>
      <c r="L51" s="1">
        <v>32.97</v>
      </c>
      <c r="N51" s="19" t="s">
        <v>217</v>
      </c>
      <c r="O51" s="1">
        <v>1925.0</v>
      </c>
      <c r="P51" s="1">
        <v>37.18</v>
      </c>
      <c r="Q51" s="1">
        <v>160.5</v>
      </c>
      <c r="R51" s="1">
        <v>36.99</v>
      </c>
      <c r="S51" s="1">
        <v>159.68</v>
      </c>
    </row>
    <row r="52">
      <c r="E52" s="19" t="s">
        <v>218</v>
      </c>
      <c r="F52" s="19">
        <v>0.65</v>
      </c>
      <c r="G52" s="19">
        <v>0.65</v>
      </c>
      <c r="H52" s="1">
        <v>100.0</v>
      </c>
      <c r="I52" s="1">
        <v>100.0</v>
      </c>
      <c r="J52" s="1">
        <v>1958.0</v>
      </c>
      <c r="K52" s="1">
        <v>124.79</v>
      </c>
      <c r="L52" s="1">
        <v>123.35</v>
      </c>
      <c r="N52" s="25" t="s">
        <v>220</v>
      </c>
      <c r="O52" s="1">
        <v>1925.0</v>
      </c>
      <c r="P52" s="1">
        <v>35.53</v>
      </c>
      <c r="Q52" s="1">
        <v>153.37</v>
      </c>
      <c r="R52" s="1">
        <v>53.02</v>
      </c>
      <c r="S52" s="1">
        <v>228.87</v>
      </c>
    </row>
    <row r="53">
      <c r="E53" s="19" t="s">
        <v>218</v>
      </c>
      <c r="F53" s="19">
        <v>0.65</v>
      </c>
      <c r="G53" s="19">
        <v>0.65</v>
      </c>
      <c r="H53" s="1">
        <v>0.0</v>
      </c>
      <c r="I53" s="1">
        <v>0.0</v>
      </c>
      <c r="J53" s="1">
        <v>1958.0</v>
      </c>
      <c r="K53" s="1">
        <v>28.91</v>
      </c>
      <c r="L53" s="1">
        <v>28.58</v>
      </c>
      <c r="N53" s="1" t="s">
        <v>222</v>
      </c>
      <c r="O53" s="1">
        <v>1925.0</v>
      </c>
      <c r="P53" s="1">
        <v>26.65</v>
      </c>
      <c r="Q53" s="1">
        <v>115.03</v>
      </c>
      <c r="R53" s="1">
        <v>53.02</v>
      </c>
      <c r="S53" s="1">
        <v>228.87</v>
      </c>
    </row>
    <row r="54">
      <c r="E54" s="20" t="s">
        <v>212</v>
      </c>
      <c r="F54" s="20">
        <v>0.9</v>
      </c>
      <c r="G54" s="20">
        <v>0.85</v>
      </c>
      <c r="H54" s="1">
        <v>100.0</v>
      </c>
      <c r="I54" s="1">
        <v>100.0</v>
      </c>
      <c r="J54" s="1">
        <v>2000.0</v>
      </c>
      <c r="K54" s="1">
        <v>146.32</v>
      </c>
      <c r="L54" s="1">
        <v>143.43</v>
      </c>
      <c r="N54" s="25" t="s">
        <v>215</v>
      </c>
      <c r="O54" s="1">
        <v>1925.0</v>
      </c>
      <c r="P54" s="1">
        <v>32.23</v>
      </c>
      <c r="Q54" s="1">
        <v>139.1</v>
      </c>
      <c r="R54" s="1">
        <v>64.12</v>
      </c>
      <c r="S54" s="1">
        <v>276.77</v>
      </c>
    </row>
    <row r="55">
      <c r="E55" s="20" t="s">
        <v>212</v>
      </c>
      <c r="F55" s="20">
        <v>0.9</v>
      </c>
      <c r="G55" s="20">
        <v>0.85</v>
      </c>
      <c r="H55" s="1">
        <v>0.0</v>
      </c>
      <c r="I55" s="1">
        <v>0.0</v>
      </c>
      <c r="J55" s="1">
        <v>2000.0</v>
      </c>
      <c r="K55" s="1">
        <v>33.9</v>
      </c>
      <c r="L55" s="1">
        <v>33.23</v>
      </c>
      <c r="N55" s="20" t="s">
        <v>212</v>
      </c>
      <c r="O55" s="1">
        <v>1930.0</v>
      </c>
      <c r="P55" s="1">
        <v>42.67</v>
      </c>
      <c r="Q55" s="1">
        <v>184.2</v>
      </c>
      <c r="R55" s="1">
        <v>42.41</v>
      </c>
      <c r="S55" s="1">
        <v>183.07</v>
      </c>
    </row>
    <row r="56">
      <c r="E56" s="20" t="s">
        <v>214</v>
      </c>
      <c r="F56" s="20">
        <v>0.85</v>
      </c>
      <c r="G56" s="20">
        <v>1.2</v>
      </c>
      <c r="H56" s="1">
        <v>100.0</v>
      </c>
      <c r="I56" s="1">
        <v>100.0</v>
      </c>
      <c r="J56" s="1">
        <v>2000.0</v>
      </c>
      <c r="K56" s="1">
        <v>171.4</v>
      </c>
      <c r="L56" s="1">
        <v>168.01</v>
      </c>
      <c r="N56" s="20" t="s">
        <v>214</v>
      </c>
      <c r="O56" s="1">
        <v>1930.0</v>
      </c>
      <c r="P56" s="1">
        <v>49.99</v>
      </c>
      <c r="Q56" s="1">
        <v>215.78</v>
      </c>
      <c r="R56" s="1">
        <v>49.68</v>
      </c>
      <c r="S56" s="1">
        <v>214.46</v>
      </c>
    </row>
    <row r="57">
      <c r="E57" s="20" t="s">
        <v>214</v>
      </c>
      <c r="F57" s="20">
        <v>0.85</v>
      </c>
      <c r="G57" s="20">
        <v>1.2</v>
      </c>
      <c r="H57" s="1">
        <v>0.0</v>
      </c>
      <c r="I57" s="1">
        <v>0.0</v>
      </c>
      <c r="J57" s="1">
        <v>2000.0</v>
      </c>
      <c r="K57" s="1">
        <v>39.71</v>
      </c>
      <c r="L57" s="1">
        <v>38.92</v>
      </c>
      <c r="N57" s="19" t="s">
        <v>216</v>
      </c>
      <c r="O57" s="1">
        <v>1930.0</v>
      </c>
      <c r="P57" s="1">
        <v>73.15</v>
      </c>
      <c r="Q57" s="1">
        <v>315.77</v>
      </c>
      <c r="R57" s="1">
        <v>72.71</v>
      </c>
      <c r="S57" s="1">
        <v>313.84</v>
      </c>
    </row>
    <row r="58">
      <c r="E58" s="20" t="s">
        <v>213</v>
      </c>
      <c r="F58" s="20">
        <v>1.25</v>
      </c>
      <c r="G58" s="20">
        <v>1.0</v>
      </c>
      <c r="H58" s="1">
        <v>100.0</v>
      </c>
      <c r="I58" s="1">
        <v>100.0</v>
      </c>
      <c r="J58" s="1">
        <v>2000.0</v>
      </c>
      <c r="K58" s="1">
        <v>188.12</v>
      </c>
      <c r="L58" s="1">
        <v>184.4</v>
      </c>
      <c r="N58" s="20" t="s">
        <v>213</v>
      </c>
      <c r="O58" s="1">
        <v>1930.0</v>
      </c>
      <c r="P58" s="1">
        <v>54.87</v>
      </c>
      <c r="Q58" s="1">
        <v>236.83</v>
      </c>
      <c r="R58" s="1">
        <v>54.53</v>
      </c>
      <c r="S58" s="1">
        <v>235.38</v>
      </c>
    </row>
    <row r="59">
      <c r="E59" s="20" t="s">
        <v>213</v>
      </c>
      <c r="F59" s="20">
        <v>1.25</v>
      </c>
      <c r="G59" s="20">
        <v>1.0</v>
      </c>
      <c r="H59" s="1">
        <v>0.0</v>
      </c>
      <c r="I59" s="1">
        <v>0.0</v>
      </c>
      <c r="J59" s="1">
        <v>2000.0</v>
      </c>
      <c r="K59" s="1">
        <v>43.58</v>
      </c>
      <c r="L59" s="1">
        <v>42.72</v>
      </c>
      <c r="N59" s="19" t="s">
        <v>218</v>
      </c>
      <c r="O59" s="1">
        <v>1930.0</v>
      </c>
      <c r="P59" s="1">
        <v>31.7</v>
      </c>
      <c r="Q59" s="1">
        <v>136.83</v>
      </c>
      <c r="R59" s="1">
        <v>31.51</v>
      </c>
      <c r="S59" s="1">
        <v>136.0</v>
      </c>
    </row>
    <row r="60">
      <c r="E60" s="19" t="s">
        <v>216</v>
      </c>
      <c r="F60" s="19">
        <v>1.8</v>
      </c>
      <c r="G60" s="19">
        <v>1.2</v>
      </c>
      <c r="H60" s="1">
        <v>100.0</v>
      </c>
      <c r="I60" s="1">
        <v>100.0</v>
      </c>
      <c r="J60" s="1">
        <v>2000.0</v>
      </c>
      <c r="K60" s="1">
        <v>250.83</v>
      </c>
      <c r="L60" s="1">
        <v>245.87</v>
      </c>
      <c r="N60" s="19" t="s">
        <v>217</v>
      </c>
      <c r="O60" s="1">
        <v>1930.0</v>
      </c>
      <c r="P60" s="1">
        <v>36.58</v>
      </c>
      <c r="Q60" s="1">
        <v>157.88</v>
      </c>
      <c r="R60" s="1">
        <v>36.35</v>
      </c>
      <c r="S60" s="1">
        <v>156.92</v>
      </c>
    </row>
    <row r="61">
      <c r="E61" s="19" t="s">
        <v>216</v>
      </c>
      <c r="F61" s="19">
        <v>1.8</v>
      </c>
      <c r="G61" s="19">
        <v>1.2</v>
      </c>
      <c r="H61" s="1">
        <v>0.0</v>
      </c>
      <c r="I61" s="1">
        <v>0.0</v>
      </c>
      <c r="J61" s="1">
        <v>2000.0</v>
      </c>
      <c r="K61" s="1">
        <v>58.11</v>
      </c>
      <c r="L61" s="1">
        <v>56.96</v>
      </c>
      <c r="N61" s="25" t="s">
        <v>220</v>
      </c>
      <c r="O61" s="1">
        <v>1930.0</v>
      </c>
      <c r="P61" s="1">
        <v>34.95</v>
      </c>
      <c r="Q61" s="1">
        <v>150.87</v>
      </c>
      <c r="R61" s="1">
        <v>52.11</v>
      </c>
      <c r="S61" s="1">
        <v>224.92</v>
      </c>
    </row>
    <row r="62">
      <c r="E62" s="20" t="s">
        <v>220</v>
      </c>
      <c r="F62" s="26">
        <v>1.3</v>
      </c>
      <c r="G62" s="26">
        <v>0.85</v>
      </c>
      <c r="H62" s="1">
        <v>100.0</v>
      </c>
      <c r="I62" s="1">
        <v>100.0</v>
      </c>
      <c r="J62" s="1">
        <v>2000.0</v>
      </c>
      <c r="K62" s="1">
        <v>119.84</v>
      </c>
      <c r="L62" s="1">
        <v>176.21</v>
      </c>
      <c r="N62" s="1" t="s">
        <v>222</v>
      </c>
      <c r="O62" s="1">
        <v>1930.0</v>
      </c>
      <c r="P62" s="1">
        <v>26.21</v>
      </c>
      <c r="Q62" s="1">
        <v>113.15</v>
      </c>
      <c r="R62" s="1">
        <v>52.11</v>
      </c>
      <c r="S62" s="1">
        <v>224.92</v>
      </c>
    </row>
    <row r="63">
      <c r="E63" s="20" t="s">
        <v>220</v>
      </c>
      <c r="F63" s="26">
        <v>1.3</v>
      </c>
      <c r="G63" s="26">
        <v>0.85</v>
      </c>
      <c r="H63" s="1">
        <v>0.0</v>
      </c>
      <c r="I63" s="1">
        <v>0.0</v>
      </c>
      <c r="J63" s="1">
        <v>2000.0</v>
      </c>
      <c r="K63" s="1">
        <v>27.76</v>
      </c>
      <c r="L63" s="1">
        <v>40.82</v>
      </c>
      <c r="N63" s="25" t="s">
        <v>215</v>
      </c>
      <c r="O63" s="1">
        <v>1930.0</v>
      </c>
      <c r="P63" s="1">
        <v>31.7</v>
      </c>
      <c r="Q63" s="1">
        <v>136.83</v>
      </c>
      <c r="R63" s="1">
        <v>63.01</v>
      </c>
      <c r="S63" s="1">
        <v>271.99</v>
      </c>
    </row>
    <row r="64">
      <c r="E64" s="20" t="s">
        <v>222</v>
      </c>
      <c r="F64" s="20">
        <v>1.2</v>
      </c>
      <c r="G64" s="20">
        <v>0.95</v>
      </c>
      <c r="H64" s="1">
        <v>100.0</v>
      </c>
      <c r="I64" s="1">
        <v>100.0</v>
      </c>
      <c r="J64" s="1">
        <v>2000.0</v>
      </c>
      <c r="K64" s="1">
        <v>89.88</v>
      </c>
      <c r="L64" s="1">
        <v>176.21</v>
      </c>
      <c r="N64" s="20" t="s">
        <v>212</v>
      </c>
      <c r="O64" s="1">
        <v>1935.0</v>
      </c>
      <c r="P64" s="1">
        <v>41.98</v>
      </c>
      <c r="Q64" s="1">
        <v>181.19</v>
      </c>
      <c r="R64" s="1">
        <v>41.68</v>
      </c>
      <c r="S64" s="1">
        <v>179.91</v>
      </c>
    </row>
    <row r="65">
      <c r="E65" s="20" t="s">
        <v>222</v>
      </c>
      <c r="F65" s="20">
        <v>1.2</v>
      </c>
      <c r="G65" s="20">
        <v>0.95</v>
      </c>
      <c r="H65" s="1">
        <v>0.0</v>
      </c>
      <c r="I65" s="1">
        <v>0.0</v>
      </c>
      <c r="J65" s="1">
        <v>2000.0</v>
      </c>
      <c r="K65" s="1">
        <v>20.82</v>
      </c>
      <c r="L65" s="1">
        <v>40.82</v>
      </c>
      <c r="N65" s="20" t="s">
        <v>214</v>
      </c>
      <c r="O65" s="1">
        <v>1935.0</v>
      </c>
      <c r="P65" s="1">
        <v>49.17</v>
      </c>
      <c r="Q65" s="1">
        <v>212.26</v>
      </c>
      <c r="R65" s="1">
        <v>48.82</v>
      </c>
      <c r="S65" s="1">
        <v>210.75</v>
      </c>
    </row>
    <row r="66">
      <c r="E66" s="19" t="s">
        <v>217</v>
      </c>
      <c r="F66" s="19">
        <v>1.2</v>
      </c>
      <c r="G66" s="19">
        <v>0.3</v>
      </c>
      <c r="H66" s="1">
        <v>100.0</v>
      </c>
      <c r="I66" s="1">
        <v>100.0</v>
      </c>
      <c r="J66" s="1">
        <v>2000.0</v>
      </c>
      <c r="K66" s="1">
        <v>125.41</v>
      </c>
      <c r="L66" s="1">
        <v>122.94</v>
      </c>
      <c r="N66" s="19" t="s">
        <v>216</v>
      </c>
      <c r="O66" s="1">
        <v>1935.0</v>
      </c>
      <c r="P66" s="1">
        <v>71.96</v>
      </c>
      <c r="Q66" s="1">
        <v>310.62</v>
      </c>
      <c r="R66" s="1">
        <v>71.45</v>
      </c>
      <c r="S66" s="1">
        <v>308.41</v>
      </c>
    </row>
    <row r="67">
      <c r="E67" s="19" t="s">
        <v>217</v>
      </c>
      <c r="F67" s="19">
        <v>1.2</v>
      </c>
      <c r="G67" s="19">
        <v>0.3</v>
      </c>
      <c r="H67" s="1">
        <v>0.0</v>
      </c>
      <c r="I67" s="1">
        <v>0.0</v>
      </c>
      <c r="J67" s="1">
        <v>2000.0</v>
      </c>
      <c r="K67" s="1">
        <v>29.05</v>
      </c>
      <c r="L67" s="1">
        <v>28.48</v>
      </c>
      <c r="N67" s="20" t="s">
        <v>213</v>
      </c>
      <c r="O67" s="1">
        <v>1935.0</v>
      </c>
      <c r="P67" s="1">
        <v>53.97</v>
      </c>
      <c r="Q67" s="1">
        <v>232.96</v>
      </c>
      <c r="R67" s="1">
        <v>53.59</v>
      </c>
      <c r="S67" s="1">
        <v>231.31</v>
      </c>
    </row>
    <row r="68">
      <c r="E68" s="19" t="s">
        <v>218</v>
      </c>
      <c r="F68" s="19">
        <v>0.65</v>
      </c>
      <c r="G68" s="19">
        <v>0.65</v>
      </c>
      <c r="H68" s="1">
        <v>100.0</v>
      </c>
      <c r="I68" s="1">
        <v>100.0</v>
      </c>
      <c r="J68" s="1">
        <v>2000.0</v>
      </c>
      <c r="K68" s="1">
        <v>108.69</v>
      </c>
      <c r="L68" s="1">
        <v>106.54</v>
      </c>
      <c r="N68" s="19" t="s">
        <v>218</v>
      </c>
      <c r="O68" s="1">
        <v>1935.0</v>
      </c>
      <c r="P68" s="1">
        <v>31.18</v>
      </c>
      <c r="Q68" s="1">
        <v>134.6</v>
      </c>
      <c r="R68" s="1">
        <v>30.96</v>
      </c>
      <c r="S68" s="1">
        <v>133.65</v>
      </c>
    </row>
    <row r="69">
      <c r="E69" s="19" t="s">
        <v>218</v>
      </c>
      <c r="F69" s="19">
        <v>0.65</v>
      </c>
      <c r="G69" s="19">
        <v>0.65</v>
      </c>
      <c r="H69" s="1">
        <v>0.0</v>
      </c>
      <c r="I69" s="1">
        <v>0.0</v>
      </c>
      <c r="J69" s="1">
        <v>2000.0</v>
      </c>
      <c r="K69" s="1">
        <v>25.18</v>
      </c>
      <c r="L69" s="1">
        <v>24.68</v>
      </c>
      <c r="N69" s="19" t="s">
        <v>217</v>
      </c>
      <c r="O69" s="1">
        <v>1935.0</v>
      </c>
      <c r="P69" s="1">
        <v>35.98</v>
      </c>
      <c r="Q69" s="1">
        <v>155.31</v>
      </c>
      <c r="R69" s="1">
        <v>35.73</v>
      </c>
      <c r="S69" s="1">
        <v>154.21</v>
      </c>
    </row>
    <row r="70">
      <c r="N70" s="25" t="s">
        <v>220</v>
      </c>
      <c r="O70" s="1">
        <v>1935.0</v>
      </c>
      <c r="P70" s="1">
        <v>34.38</v>
      </c>
      <c r="Q70" s="1">
        <v>148.41</v>
      </c>
      <c r="R70" s="1">
        <v>51.21</v>
      </c>
      <c r="S70" s="1">
        <v>221.03</v>
      </c>
    </row>
    <row r="71">
      <c r="N71" s="1" t="s">
        <v>222</v>
      </c>
      <c r="O71" s="1">
        <v>1935.0</v>
      </c>
      <c r="P71" s="1">
        <v>25.79</v>
      </c>
      <c r="Q71" s="1">
        <v>111.31</v>
      </c>
      <c r="R71" s="1">
        <v>51.21</v>
      </c>
      <c r="S71" s="1">
        <v>221.03</v>
      </c>
    </row>
    <row r="72">
      <c r="N72" s="25" t="s">
        <v>215</v>
      </c>
      <c r="O72" s="1">
        <v>1935.0</v>
      </c>
      <c r="P72" s="1">
        <v>31.18</v>
      </c>
      <c r="Q72" s="1">
        <v>134.6</v>
      </c>
      <c r="R72" s="1">
        <v>61.92</v>
      </c>
      <c r="S72" s="1">
        <v>267.29</v>
      </c>
    </row>
    <row r="73">
      <c r="N73" s="20" t="s">
        <v>212</v>
      </c>
      <c r="O73" s="1">
        <v>1940.0</v>
      </c>
      <c r="P73" s="1">
        <v>41.29</v>
      </c>
      <c r="Q73" s="1">
        <v>178.24</v>
      </c>
      <c r="R73" s="1">
        <v>40.96</v>
      </c>
      <c r="S73" s="1">
        <v>176.8</v>
      </c>
    </row>
    <row r="74">
      <c r="N74" s="20" t="s">
        <v>214</v>
      </c>
      <c r="O74" s="1">
        <v>1940.0</v>
      </c>
      <c r="P74" s="1">
        <v>48.37</v>
      </c>
      <c r="Q74" s="1">
        <v>208.79</v>
      </c>
      <c r="R74" s="1">
        <v>47.98</v>
      </c>
      <c r="S74" s="1">
        <v>207.11</v>
      </c>
    </row>
    <row r="75">
      <c r="N75" s="19" t="s">
        <v>216</v>
      </c>
      <c r="O75" s="1">
        <v>1940.0</v>
      </c>
      <c r="P75" s="1">
        <v>70.79</v>
      </c>
      <c r="Q75" s="1">
        <v>305.55</v>
      </c>
      <c r="R75" s="1">
        <v>70.22</v>
      </c>
      <c r="S75" s="1">
        <v>303.08</v>
      </c>
    </row>
    <row r="76">
      <c r="N76" s="20" t="s">
        <v>213</v>
      </c>
      <c r="O76" s="1">
        <v>1940.0</v>
      </c>
      <c r="P76" s="1">
        <v>53.09</v>
      </c>
      <c r="Q76" s="1">
        <v>229.17</v>
      </c>
      <c r="R76" s="1">
        <v>52.66</v>
      </c>
      <c r="S76" s="1">
        <v>227.31</v>
      </c>
    </row>
    <row r="77">
      <c r="N77" s="19" t="s">
        <v>218</v>
      </c>
      <c r="O77" s="1">
        <v>1940.0</v>
      </c>
      <c r="P77" s="1">
        <v>30.67</v>
      </c>
      <c r="Q77" s="1">
        <v>132.41</v>
      </c>
      <c r="R77" s="1">
        <v>30.43</v>
      </c>
      <c r="S77" s="1">
        <v>131.34</v>
      </c>
    </row>
    <row r="78">
      <c r="N78" s="19" t="s">
        <v>217</v>
      </c>
      <c r="O78" s="1">
        <v>1940.0</v>
      </c>
      <c r="P78" s="1">
        <v>35.39</v>
      </c>
      <c r="Q78" s="1">
        <v>152.78</v>
      </c>
      <c r="R78" s="1">
        <v>35.11</v>
      </c>
      <c r="S78" s="1">
        <v>151.54</v>
      </c>
    </row>
    <row r="79">
      <c r="N79" s="25" t="s">
        <v>220</v>
      </c>
      <c r="O79" s="1">
        <v>1940.0</v>
      </c>
      <c r="P79" s="1">
        <v>33.82</v>
      </c>
      <c r="Q79" s="1">
        <v>145.99</v>
      </c>
      <c r="R79" s="1">
        <v>50.32</v>
      </c>
      <c r="S79" s="1">
        <v>217.21</v>
      </c>
    </row>
    <row r="80">
      <c r="N80" s="1" t="s">
        <v>222</v>
      </c>
      <c r="O80" s="1">
        <v>1940.0</v>
      </c>
      <c r="P80" s="1">
        <v>25.37</v>
      </c>
      <c r="Q80" s="1">
        <v>109.49</v>
      </c>
      <c r="R80" s="1">
        <v>50.32</v>
      </c>
      <c r="S80" s="1">
        <v>217.21</v>
      </c>
    </row>
    <row r="81">
      <c r="N81" s="25" t="s">
        <v>215</v>
      </c>
      <c r="O81" s="1">
        <v>1940.0</v>
      </c>
      <c r="P81" s="1">
        <v>30.67</v>
      </c>
      <c r="Q81" s="1">
        <v>132.41</v>
      </c>
      <c r="R81" s="1">
        <v>60.85</v>
      </c>
      <c r="S81" s="1">
        <v>262.67</v>
      </c>
    </row>
    <row r="82">
      <c r="N82" s="20" t="s">
        <v>212</v>
      </c>
      <c r="O82" s="1">
        <v>1945.0</v>
      </c>
      <c r="P82" s="1">
        <v>40.62</v>
      </c>
      <c r="Q82" s="1">
        <v>175.33</v>
      </c>
      <c r="R82" s="1">
        <v>40.25</v>
      </c>
      <c r="S82" s="1">
        <v>173.74</v>
      </c>
    </row>
    <row r="83">
      <c r="N83" s="20" t="s">
        <v>214</v>
      </c>
      <c r="O83" s="1">
        <v>1945.0</v>
      </c>
      <c r="P83" s="1">
        <v>47.58</v>
      </c>
      <c r="Q83" s="1">
        <v>205.39</v>
      </c>
      <c r="R83" s="1">
        <v>47.15</v>
      </c>
      <c r="S83" s="1">
        <v>203.53</v>
      </c>
    </row>
    <row r="84">
      <c r="N84" s="19" t="s">
        <v>216</v>
      </c>
      <c r="O84" s="1">
        <v>1945.0</v>
      </c>
      <c r="P84" s="1">
        <v>69.63</v>
      </c>
      <c r="Q84" s="1">
        <v>300.57</v>
      </c>
      <c r="R84" s="1">
        <v>69.0</v>
      </c>
      <c r="S84" s="1">
        <v>297.85</v>
      </c>
    </row>
    <row r="85">
      <c r="N85" s="20" t="s">
        <v>213</v>
      </c>
      <c r="O85" s="1">
        <v>1945.0</v>
      </c>
      <c r="P85" s="1">
        <v>52.22</v>
      </c>
      <c r="Q85" s="1">
        <v>225.43</v>
      </c>
      <c r="R85" s="1">
        <v>51.75</v>
      </c>
      <c r="S85" s="1">
        <v>223.38</v>
      </c>
    </row>
    <row r="86">
      <c r="N86" s="19" t="s">
        <v>218</v>
      </c>
      <c r="O86" s="1">
        <v>1945.0</v>
      </c>
      <c r="P86" s="1">
        <v>30.17</v>
      </c>
      <c r="Q86" s="1">
        <v>130.25</v>
      </c>
      <c r="R86" s="1">
        <v>29.9</v>
      </c>
      <c r="S86" s="1">
        <v>129.07</v>
      </c>
    </row>
    <row r="87">
      <c r="N87" s="19" t="s">
        <v>217</v>
      </c>
      <c r="O87" s="1">
        <v>1945.0</v>
      </c>
      <c r="P87" s="1">
        <v>34.82</v>
      </c>
      <c r="Q87" s="1">
        <v>150.28</v>
      </c>
      <c r="R87" s="1">
        <v>34.5</v>
      </c>
      <c r="S87" s="1">
        <v>148.92</v>
      </c>
    </row>
    <row r="88">
      <c r="N88" s="25" t="s">
        <v>220</v>
      </c>
      <c r="O88" s="1">
        <v>1945.0</v>
      </c>
      <c r="P88" s="1">
        <v>33.27</v>
      </c>
      <c r="Q88" s="1">
        <v>143.61</v>
      </c>
      <c r="R88" s="1">
        <v>49.45</v>
      </c>
      <c r="S88" s="1">
        <v>213.46</v>
      </c>
    </row>
    <row r="89">
      <c r="N89" s="1" t="s">
        <v>222</v>
      </c>
      <c r="O89" s="1">
        <v>1945.0</v>
      </c>
      <c r="P89" s="1">
        <v>24.95</v>
      </c>
      <c r="Q89" s="1">
        <v>107.7</v>
      </c>
      <c r="R89" s="1">
        <v>49.45</v>
      </c>
      <c r="S89" s="1">
        <v>213.46</v>
      </c>
    </row>
    <row r="90">
      <c r="N90" s="25" t="s">
        <v>215</v>
      </c>
      <c r="O90" s="1">
        <v>1945.0</v>
      </c>
      <c r="P90" s="1">
        <v>30.17</v>
      </c>
      <c r="Q90" s="1">
        <v>130.25</v>
      </c>
      <c r="R90" s="1">
        <v>59.8</v>
      </c>
      <c r="S90" s="1">
        <v>258.13</v>
      </c>
    </row>
    <row r="91">
      <c r="N91" s="19" t="s">
        <v>224</v>
      </c>
      <c r="O91" s="1">
        <v>1945.0</v>
      </c>
      <c r="P91" s="1">
        <v>29.68</v>
      </c>
      <c r="Q91" s="1">
        <v>128.12</v>
      </c>
      <c r="R91" s="1">
        <v>29.68</v>
      </c>
      <c r="S91" s="1">
        <v>128.12</v>
      </c>
    </row>
    <row r="92">
      <c r="N92" s="20" t="s">
        <v>212</v>
      </c>
      <c r="O92" s="1">
        <v>1950.0</v>
      </c>
      <c r="P92" s="1">
        <v>39.96</v>
      </c>
      <c r="Q92" s="1">
        <v>172.47</v>
      </c>
      <c r="R92" s="1">
        <v>39.56</v>
      </c>
      <c r="S92" s="1">
        <v>170.74</v>
      </c>
    </row>
    <row r="93">
      <c r="N93" s="20" t="s">
        <v>214</v>
      </c>
      <c r="O93" s="1">
        <v>1950.0</v>
      </c>
      <c r="P93" s="1">
        <v>46.81</v>
      </c>
      <c r="Q93" s="1">
        <v>202.04</v>
      </c>
      <c r="R93" s="1">
        <v>46.34</v>
      </c>
      <c r="S93" s="1">
        <v>200.01</v>
      </c>
    </row>
    <row r="94">
      <c r="N94" s="19" t="s">
        <v>216</v>
      </c>
      <c r="O94" s="1">
        <v>1950.0</v>
      </c>
      <c r="P94" s="1">
        <v>68.5</v>
      </c>
      <c r="Q94" s="1">
        <v>295.67</v>
      </c>
      <c r="R94" s="1">
        <v>67.81</v>
      </c>
      <c r="S94" s="1">
        <v>292.7</v>
      </c>
    </row>
    <row r="95">
      <c r="N95" s="20" t="s">
        <v>213</v>
      </c>
      <c r="O95" s="1">
        <v>1950.0</v>
      </c>
      <c r="P95" s="1">
        <v>51.37</v>
      </c>
      <c r="Q95" s="1">
        <v>221.75</v>
      </c>
      <c r="R95" s="1">
        <v>50.86</v>
      </c>
      <c r="S95" s="1">
        <v>219.52</v>
      </c>
    </row>
    <row r="96">
      <c r="N96" s="19" t="s">
        <v>218</v>
      </c>
      <c r="O96" s="1">
        <v>1950.0</v>
      </c>
      <c r="P96" s="1">
        <v>29.68</v>
      </c>
      <c r="Q96" s="1">
        <v>128.12</v>
      </c>
      <c r="R96" s="1">
        <v>29.38</v>
      </c>
      <c r="S96" s="1">
        <v>126.84</v>
      </c>
    </row>
    <row r="97">
      <c r="N97" s="19" t="s">
        <v>217</v>
      </c>
      <c r="O97" s="1">
        <v>1950.0</v>
      </c>
      <c r="P97" s="1">
        <v>34.25</v>
      </c>
      <c r="Q97" s="1">
        <v>147.83</v>
      </c>
      <c r="R97" s="1">
        <v>33.9</v>
      </c>
      <c r="S97" s="1">
        <v>146.35</v>
      </c>
    </row>
    <row r="98">
      <c r="N98" s="25" t="s">
        <v>220</v>
      </c>
      <c r="O98" s="1">
        <v>1950.0</v>
      </c>
      <c r="P98" s="1">
        <v>32.73</v>
      </c>
      <c r="Q98" s="1">
        <v>141.26</v>
      </c>
      <c r="R98" s="1">
        <v>48.6</v>
      </c>
      <c r="S98" s="1">
        <v>209.77</v>
      </c>
    </row>
    <row r="99">
      <c r="N99" s="1" t="s">
        <v>222</v>
      </c>
      <c r="O99" s="1">
        <v>1950.0</v>
      </c>
      <c r="P99" s="1">
        <v>24.54</v>
      </c>
      <c r="Q99" s="1">
        <v>105.95</v>
      </c>
      <c r="R99" s="1">
        <v>48.6</v>
      </c>
      <c r="S99" s="1">
        <v>209.77</v>
      </c>
    </row>
    <row r="100">
      <c r="N100" s="25" t="s">
        <v>215</v>
      </c>
      <c r="O100" s="1">
        <v>1950.0</v>
      </c>
      <c r="P100" s="1">
        <v>29.68</v>
      </c>
      <c r="Q100" s="1">
        <v>128.12</v>
      </c>
      <c r="R100" s="1">
        <v>58.77</v>
      </c>
      <c r="S100" s="1">
        <v>253.67</v>
      </c>
    </row>
    <row r="101">
      <c r="N101" s="19" t="s">
        <v>224</v>
      </c>
      <c r="O101" s="1">
        <v>1950.0</v>
      </c>
      <c r="P101" s="1">
        <v>29.68</v>
      </c>
      <c r="Q101" s="1">
        <v>128.12</v>
      </c>
      <c r="R101" s="1">
        <v>29.68</v>
      </c>
      <c r="S101" s="1">
        <v>128.12</v>
      </c>
    </row>
    <row r="102">
      <c r="N102" s="20" t="s">
        <v>212</v>
      </c>
      <c r="O102" s="1">
        <v>1955.0</v>
      </c>
      <c r="P102" s="1">
        <v>39.3</v>
      </c>
      <c r="Q102" s="1">
        <v>169.66</v>
      </c>
      <c r="R102" s="1">
        <v>38.87</v>
      </c>
      <c r="S102" s="1">
        <v>167.79</v>
      </c>
    </row>
    <row r="103">
      <c r="N103" s="20" t="s">
        <v>214</v>
      </c>
      <c r="O103" s="1">
        <v>1955.0</v>
      </c>
      <c r="P103" s="1">
        <v>46.04</v>
      </c>
      <c r="Q103" s="1">
        <v>198.74</v>
      </c>
      <c r="R103" s="1">
        <v>45.54</v>
      </c>
      <c r="S103" s="1">
        <v>196.55</v>
      </c>
    </row>
    <row r="104">
      <c r="N104" s="19" t="s">
        <v>216</v>
      </c>
      <c r="O104" s="1">
        <v>1955.0</v>
      </c>
      <c r="P104" s="1">
        <v>67.38</v>
      </c>
      <c r="Q104" s="1">
        <v>290.84</v>
      </c>
      <c r="R104" s="1">
        <v>66.64</v>
      </c>
      <c r="S104" s="1">
        <v>287.64</v>
      </c>
    </row>
    <row r="105">
      <c r="N105" s="20" t="s">
        <v>213</v>
      </c>
      <c r="O105" s="1">
        <v>1955.0</v>
      </c>
      <c r="P105" s="1">
        <v>50.53</v>
      </c>
      <c r="Q105" s="1">
        <v>218.13</v>
      </c>
      <c r="R105" s="1">
        <v>49.98</v>
      </c>
      <c r="S105" s="1">
        <v>215.73</v>
      </c>
    </row>
    <row r="106">
      <c r="N106" s="27" t="s">
        <v>218</v>
      </c>
      <c r="O106" s="1">
        <v>1955.0</v>
      </c>
      <c r="P106" s="1">
        <v>29.2</v>
      </c>
      <c r="Q106" s="1">
        <v>126.03</v>
      </c>
      <c r="R106" s="1">
        <v>28.88</v>
      </c>
      <c r="S106" s="1">
        <v>124.64</v>
      </c>
    </row>
    <row r="107">
      <c r="N107" s="19" t="s">
        <v>217</v>
      </c>
      <c r="O107" s="1">
        <v>1955.0</v>
      </c>
      <c r="P107" s="1">
        <v>33.69</v>
      </c>
      <c r="Q107" s="1">
        <v>145.42</v>
      </c>
      <c r="R107" s="1">
        <v>33.32</v>
      </c>
      <c r="S107" s="1">
        <v>143.82</v>
      </c>
    </row>
    <row r="108">
      <c r="N108" s="28" t="s">
        <v>220</v>
      </c>
      <c r="O108" s="1">
        <v>1955.0</v>
      </c>
      <c r="P108" s="1">
        <v>32.19</v>
      </c>
      <c r="Q108" s="1">
        <v>138.96</v>
      </c>
      <c r="R108" s="1">
        <v>47.76</v>
      </c>
      <c r="S108" s="1">
        <v>206.14</v>
      </c>
    </row>
    <row r="109">
      <c r="N109" s="29" t="s">
        <v>222</v>
      </c>
      <c r="O109" s="1">
        <v>1955.0</v>
      </c>
      <c r="P109" s="1">
        <v>24.14</v>
      </c>
      <c r="Q109" s="1">
        <v>104.22</v>
      </c>
      <c r="R109" s="1">
        <v>47.76</v>
      </c>
      <c r="S109" s="1">
        <v>206.14</v>
      </c>
    </row>
    <row r="110">
      <c r="N110" s="30" t="s">
        <v>215</v>
      </c>
      <c r="O110" s="1">
        <v>1955.0</v>
      </c>
      <c r="P110" s="1">
        <v>29.2</v>
      </c>
      <c r="Q110" s="1">
        <v>126.03</v>
      </c>
      <c r="R110" s="1">
        <v>57.75</v>
      </c>
      <c r="S110" s="1">
        <v>249.29</v>
      </c>
    </row>
    <row r="111">
      <c r="N111" s="27" t="s">
        <v>224</v>
      </c>
      <c r="O111" s="1">
        <v>1955.0</v>
      </c>
      <c r="P111" s="1">
        <v>29.2</v>
      </c>
      <c r="Q111" s="1">
        <v>126.03</v>
      </c>
      <c r="R111" s="1">
        <v>29.2</v>
      </c>
      <c r="S111" s="1">
        <v>126.03</v>
      </c>
    </row>
    <row r="112">
      <c r="N112" s="20" t="s">
        <v>212</v>
      </c>
      <c r="O112" s="1">
        <v>1960.0</v>
      </c>
      <c r="P112" s="1">
        <v>38.66</v>
      </c>
      <c r="Q112" s="1">
        <v>166.89</v>
      </c>
      <c r="R112" s="1">
        <v>38.2</v>
      </c>
      <c r="S112" s="1">
        <v>164.89</v>
      </c>
    </row>
    <row r="113">
      <c r="N113" s="20" t="s">
        <v>214</v>
      </c>
      <c r="O113" s="1">
        <v>1960.0</v>
      </c>
      <c r="P113" s="1">
        <v>45.29</v>
      </c>
      <c r="Q113" s="1">
        <v>195.5</v>
      </c>
      <c r="R113" s="1">
        <v>44.75</v>
      </c>
      <c r="S113" s="1">
        <v>193.16</v>
      </c>
    </row>
    <row r="114">
      <c r="N114" s="19" t="s">
        <v>216</v>
      </c>
      <c r="O114" s="1">
        <v>1960.0</v>
      </c>
      <c r="P114" s="1">
        <v>66.28</v>
      </c>
      <c r="Q114" s="1">
        <v>286.09</v>
      </c>
      <c r="R114" s="1">
        <v>65.49</v>
      </c>
      <c r="S114" s="1">
        <v>282.67</v>
      </c>
    </row>
    <row r="115">
      <c r="N115" s="20" t="s">
        <v>213</v>
      </c>
      <c r="O115" s="1">
        <v>1960.0</v>
      </c>
      <c r="P115" s="1">
        <v>49.71</v>
      </c>
      <c r="Q115" s="1">
        <v>214.57</v>
      </c>
      <c r="R115" s="1">
        <v>49.11</v>
      </c>
      <c r="S115" s="1">
        <v>212.0</v>
      </c>
    </row>
    <row r="116">
      <c r="N116" s="27" t="s">
        <v>218</v>
      </c>
      <c r="O116" s="1">
        <v>1960.0</v>
      </c>
      <c r="P116" s="1">
        <v>28.72</v>
      </c>
      <c r="Q116" s="1">
        <v>123.97</v>
      </c>
      <c r="R116" s="1">
        <v>28.38</v>
      </c>
      <c r="S116" s="1">
        <v>122.49</v>
      </c>
    </row>
    <row r="117">
      <c r="N117" s="19" t="s">
        <v>217</v>
      </c>
      <c r="O117" s="1">
        <v>1960.0</v>
      </c>
      <c r="P117" s="1">
        <v>33.14</v>
      </c>
      <c r="Q117" s="1">
        <v>143.05</v>
      </c>
      <c r="R117" s="1">
        <v>32.74</v>
      </c>
      <c r="S117" s="1">
        <v>141.33</v>
      </c>
    </row>
    <row r="118">
      <c r="N118" s="28" t="s">
        <v>220</v>
      </c>
      <c r="O118" s="1">
        <v>1960.0</v>
      </c>
      <c r="P118" s="1">
        <v>31.67</v>
      </c>
      <c r="Q118" s="1">
        <v>136.69</v>
      </c>
      <c r="R118" s="1">
        <v>46.93</v>
      </c>
      <c r="S118" s="1">
        <v>202.58</v>
      </c>
    </row>
    <row r="119">
      <c r="N119" s="29" t="s">
        <v>222</v>
      </c>
      <c r="O119" s="1">
        <v>1960.0</v>
      </c>
      <c r="P119" s="1">
        <v>23.75</v>
      </c>
      <c r="Q119" s="1">
        <v>102.52</v>
      </c>
      <c r="R119" s="1">
        <v>46.93</v>
      </c>
      <c r="S119" s="1">
        <v>202.58</v>
      </c>
    </row>
    <row r="120">
      <c r="N120" s="30" t="s">
        <v>215</v>
      </c>
      <c r="O120" s="1">
        <v>1960.0</v>
      </c>
      <c r="P120" s="1">
        <v>28.72</v>
      </c>
      <c r="Q120" s="1">
        <v>123.97</v>
      </c>
      <c r="R120" s="1">
        <v>56.75</v>
      </c>
      <c r="S120" s="1">
        <v>244.98</v>
      </c>
    </row>
    <row r="121">
      <c r="N121" s="27" t="s">
        <v>224</v>
      </c>
      <c r="O121" s="1">
        <v>1960.0</v>
      </c>
      <c r="P121" s="1">
        <v>28.72</v>
      </c>
      <c r="Q121" s="1">
        <v>123.97</v>
      </c>
      <c r="R121" s="1">
        <v>28.72</v>
      </c>
      <c r="S121" s="1">
        <v>123.97</v>
      </c>
    </row>
    <row r="122">
      <c r="N122" s="20" t="s">
        <v>212</v>
      </c>
      <c r="O122" s="1">
        <v>1965.0</v>
      </c>
      <c r="P122" s="1">
        <v>38.03</v>
      </c>
      <c r="Q122" s="1">
        <v>164.17</v>
      </c>
      <c r="R122" s="1">
        <v>37.54</v>
      </c>
      <c r="S122" s="1">
        <v>162.04</v>
      </c>
    </row>
    <row r="123">
      <c r="N123" s="20" t="s">
        <v>214</v>
      </c>
      <c r="O123" s="1">
        <v>1965.0</v>
      </c>
      <c r="P123" s="1">
        <v>44.55</v>
      </c>
      <c r="Q123" s="1">
        <v>192.31</v>
      </c>
      <c r="R123" s="1">
        <v>43.97</v>
      </c>
      <c r="S123" s="1">
        <v>189.82</v>
      </c>
    </row>
    <row r="124">
      <c r="N124" s="19" t="s">
        <v>216</v>
      </c>
      <c r="O124" s="1">
        <v>1965.0</v>
      </c>
      <c r="P124" s="1">
        <v>65.2</v>
      </c>
      <c r="Q124" s="1">
        <v>281.43</v>
      </c>
      <c r="R124" s="1">
        <v>64.35</v>
      </c>
      <c r="S124" s="1">
        <v>277.78</v>
      </c>
    </row>
    <row r="125">
      <c r="N125" s="20" t="s">
        <v>213</v>
      </c>
      <c r="O125" s="1">
        <v>1965.0</v>
      </c>
      <c r="P125" s="1">
        <v>48.9</v>
      </c>
      <c r="Q125" s="1">
        <v>211.07</v>
      </c>
      <c r="R125" s="1">
        <v>48.27</v>
      </c>
      <c r="S125" s="1">
        <v>208.34</v>
      </c>
    </row>
    <row r="126">
      <c r="N126" s="27" t="s">
        <v>218</v>
      </c>
      <c r="O126" s="1">
        <v>1965.0</v>
      </c>
      <c r="P126" s="1">
        <v>28.25</v>
      </c>
      <c r="Q126" s="1">
        <v>121.95</v>
      </c>
      <c r="R126" s="1">
        <v>27.89</v>
      </c>
      <c r="S126" s="1">
        <v>120.37</v>
      </c>
    </row>
    <row r="127">
      <c r="N127" s="19" t="s">
        <v>217</v>
      </c>
      <c r="O127" s="1">
        <v>1965.0</v>
      </c>
      <c r="P127" s="1">
        <v>32.6</v>
      </c>
      <c r="Q127" s="1">
        <v>140.71</v>
      </c>
      <c r="R127" s="1">
        <v>32.18</v>
      </c>
      <c r="S127" s="1">
        <v>138.89</v>
      </c>
    </row>
    <row r="128">
      <c r="N128" s="28" t="s">
        <v>220</v>
      </c>
      <c r="O128" s="1">
        <v>1965.0</v>
      </c>
      <c r="P128" s="1">
        <v>31.15</v>
      </c>
      <c r="Q128" s="1">
        <v>134.46</v>
      </c>
      <c r="R128" s="1">
        <v>46.12</v>
      </c>
      <c r="S128" s="1">
        <v>199.08</v>
      </c>
    </row>
    <row r="129">
      <c r="N129" s="29" t="s">
        <v>222</v>
      </c>
      <c r="O129" s="1">
        <v>1965.0</v>
      </c>
      <c r="P129" s="1">
        <v>23.36</v>
      </c>
      <c r="Q129" s="1">
        <v>100.85</v>
      </c>
      <c r="R129" s="1">
        <v>46.12</v>
      </c>
      <c r="S129" s="1">
        <v>199.08</v>
      </c>
    </row>
    <row r="130">
      <c r="N130" s="30" t="s">
        <v>215</v>
      </c>
      <c r="O130" s="1">
        <v>1965.0</v>
      </c>
      <c r="P130" s="1">
        <v>28.25</v>
      </c>
      <c r="Q130" s="1">
        <v>121.95</v>
      </c>
      <c r="R130" s="1">
        <v>55.77</v>
      </c>
      <c r="S130" s="1">
        <v>240.74</v>
      </c>
    </row>
    <row r="131">
      <c r="N131" s="27" t="s">
        <v>224</v>
      </c>
      <c r="O131" s="1">
        <v>1965.0</v>
      </c>
      <c r="P131" s="1">
        <v>28.25</v>
      </c>
      <c r="Q131" s="1">
        <v>121.95</v>
      </c>
      <c r="R131" s="1">
        <v>28.25</v>
      </c>
      <c r="S131" s="1">
        <v>121.95</v>
      </c>
    </row>
    <row r="132">
      <c r="N132" s="20" t="s">
        <v>212</v>
      </c>
      <c r="O132" s="1">
        <v>1970.0</v>
      </c>
      <c r="P132" s="1">
        <v>37.41</v>
      </c>
      <c r="Q132" s="1">
        <v>161.49</v>
      </c>
      <c r="R132" s="1">
        <v>36.89</v>
      </c>
      <c r="S132" s="1">
        <v>159.24</v>
      </c>
    </row>
    <row r="133">
      <c r="N133" s="20" t="s">
        <v>214</v>
      </c>
      <c r="O133" s="1">
        <v>1970.0</v>
      </c>
      <c r="P133" s="1">
        <v>43.83</v>
      </c>
      <c r="Q133" s="1">
        <v>189.17</v>
      </c>
      <c r="R133" s="1">
        <v>43.21</v>
      </c>
      <c r="S133" s="1">
        <v>186.54</v>
      </c>
    </row>
    <row r="134">
      <c r="N134" s="19" t="s">
        <v>216</v>
      </c>
      <c r="O134" s="1">
        <v>1970.0</v>
      </c>
      <c r="P134" s="1">
        <v>64.13</v>
      </c>
      <c r="Q134" s="1">
        <v>276.84</v>
      </c>
      <c r="R134" s="1">
        <v>63.24</v>
      </c>
      <c r="S134" s="1">
        <v>272.98</v>
      </c>
    </row>
    <row r="135">
      <c r="N135" s="20" t="s">
        <v>213</v>
      </c>
      <c r="O135" s="1">
        <v>1970.0</v>
      </c>
      <c r="P135" s="1">
        <v>48.1</v>
      </c>
      <c r="Q135" s="1">
        <v>207.63</v>
      </c>
      <c r="R135" s="1">
        <v>47.43</v>
      </c>
      <c r="S135" s="1">
        <v>204.73</v>
      </c>
    </row>
    <row r="136">
      <c r="N136" s="27" t="s">
        <v>218</v>
      </c>
      <c r="O136" s="1">
        <v>1970.0</v>
      </c>
      <c r="P136" s="1">
        <v>27.79</v>
      </c>
      <c r="Q136" s="1">
        <v>119.96</v>
      </c>
      <c r="R136" s="1">
        <v>27.4</v>
      </c>
      <c r="S136" s="1">
        <v>118.29</v>
      </c>
    </row>
    <row r="137">
      <c r="N137" s="19" t="s">
        <v>217</v>
      </c>
      <c r="O137" s="1">
        <v>1970.0</v>
      </c>
      <c r="P137" s="1">
        <v>32.07</v>
      </c>
      <c r="Q137" s="1">
        <v>138.42</v>
      </c>
      <c r="R137" s="1">
        <v>31.62</v>
      </c>
      <c r="S137" s="1">
        <v>136.49</v>
      </c>
    </row>
    <row r="138">
      <c r="N138" s="28" t="s">
        <v>220</v>
      </c>
      <c r="O138" s="1">
        <v>1970.0</v>
      </c>
      <c r="P138" s="1">
        <v>30.64</v>
      </c>
      <c r="Q138" s="1">
        <v>132.27</v>
      </c>
      <c r="R138" s="1">
        <v>45.32</v>
      </c>
      <c r="S138" s="1">
        <v>195.64</v>
      </c>
    </row>
    <row r="139">
      <c r="N139" s="29" t="s">
        <v>222</v>
      </c>
      <c r="O139" s="1">
        <v>1970.0</v>
      </c>
      <c r="P139" s="1">
        <v>22.98</v>
      </c>
      <c r="Q139" s="1">
        <v>99.2</v>
      </c>
      <c r="R139" s="1">
        <v>45.32</v>
      </c>
      <c r="S139" s="1">
        <v>195.64</v>
      </c>
    </row>
    <row r="140">
      <c r="N140" s="30" t="s">
        <v>215</v>
      </c>
      <c r="O140" s="1">
        <v>1970.0</v>
      </c>
      <c r="P140" s="1">
        <v>27.79</v>
      </c>
      <c r="Q140" s="1">
        <v>119.96</v>
      </c>
      <c r="R140" s="1">
        <v>54.81</v>
      </c>
      <c r="S140" s="1">
        <v>236.58</v>
      </c>
    </row>
    <row r="141">
      <c r="N141" s="27" t="s">
        <v>224</v>
      </c>
      <c r="O141" s="1">
        <v>1970.0</v>
      </c>
      <c r="P141" s="1">
        <v>27.79</v>
      </c>
      <c r="Q141" s="1">
        <v>119.96</v>
      </c>
      <c r="R141" s="1">
        <v>27.79</v>
      </c>
      <c r="S141" s="1">
        <v>119.96</v>
      </c>
    </row>
    <row r="142">
      <c r="N142" s="20" t="s">
        <v>212</v>
      </c>
      <c r="O142" s="1">
        <v>1975.0</v>
      </c>
      <c r="P142" s="1">
        <v>36.8</v>
      </c>
      <c r="Q142" s="1">
        <v>158.85</v>
      </c>
      <c r="R142" s="1">
        <v>36.25</v>
      </c>
      <c r="S142" s="1">
        <v>156.49</v>
      </c>
    </row>
    <row r="143">
      <c r="N143" s="20" t="s">
        <v>214</v>
      </c>
      <c r="O143" s="1">
        <v>1975.0</v>
      </c>
      <c r="P143" s="1">
        <v>43.11</v>
      </c>
      <c r="Q143" s="1">
        <v>186.09</v>
      </c>
      <c r="R143" s="1">
        <v>42.47</v>
      </c>
      <c r="S143" s="1">
        <v>183.31</v>
      </c>
    </row>
    <row r="144">
      <c r="N144" s="19" t="s">
        <v>216</v>
      </c>
      <c r="O144" s="1">
        <v>1975.0</v>
      </c>
      <c r="P144" s="1">
        <v>63.09</v>
      </c>
      <c r="Q144" s="1">
        <v>272.32</v>
      </c>
      <c r="R144" s="1">
        <v>62.15</v>
      </c>
      <c r="S144" s="1">
        <v>268.26</v>
      </c>
    </row>
    <row r="145">
      <c r="N145" s="20" t="s">
        <v>213</v>
      </c>
      <c r="O145" s="1">
        <v>1975.0</v>
      </c>
      <c r="P145" s="1">
        <v>47.32</v>
      </c>
      <c r="Q145" s="1">
        <v>204.24</v>
      </c>
      <c r="R145" s="1">
        <v>46.61</v>
      </c>
      <c r="S145" s="1">
        <v>201.2</v>
      </c>
    </row>
    <row r="146">
      <c r="N146" s="27" t="s">
        <v>218</v>
      </c>
      <c r="O146" s="1">
        <v>1975.0</v>
      </c>
      <c r="P146" s="1">
        <v>27.34</v>
      </c>
      <c r="Q146" s="1">
        <v>118.01</v>
      </c>
      <c r="R146" s="1">
        <v>26.93</v>
      </c>
      <c r="S146" s="1">
        <v>116.25</v>
      </c>
    </row>
    <row r="147">
      <c r="N147" s="19" t="s">
        <v>217</v>
      </c>
      <c r="O147" s="1">
        <v>1975.0</v>
      </c>
      <c r="P147" s="1">
        <v>31.54</v>
      </c>
      <c r="Q147" s="1">
        <v>136.16</v>
      </c>
      <c r="R147" s="1">
        <v>31.07</v>
      </c>
      <c r="S147" s="1">
        <v>134.13</v>
      </c>
    </row>
    <row r="148">
      <c r="N148" s="28" t="s">
        <v>220</v>
      </c>
      <c r="O148" s="1">
        <v>1975.0</v>
      </c>
      <c r="P148" s="1">
        <v>30.14</v>
      </c>
      <c r="Q148" s="1">
        <v>130.11</v>
      </c>
      <c r="R148" s="1">
        <v>44.54</v>
      </c>
      <c r="S148" s="1">
        <v>192.25</v>
      </c>
    </row>
    <row r="149">
      <c r="N149" s="29" t="s">
        <v>222</v>
      </c>
      <c r="O149" s="1">
        <v>1975.0</v>
      </c>
      <c r="P149" s="1">
        <v>22.61</v>
      </c>
      <c r="Q149" s="1">
        <v>97.58</v>
      </c>
      <c r="R149" s="1">
        <v>44.54</v>
      </c>
      <c r="S149" s="1">
        <v>192.25</v>
      </c>
    </row>
    <row r="150">
      <c r="N150" s="30" t="s">
        <v>215</v>
      </c>
      <c r="O150" s="1">
        <v>1975.0</v>
      </c>
      <c r="P150" s="1">
        <v>27.34</v>
      </c>
      <c r="Q150" s="1">
        <v>118.01</v>
      </c>
      <c r="R150" s="1">
        <v>53.86</v>
      </c>
      <c r="S150" s="1">
        <v>232.49</v>
      </c>
    </row>
    <row r="151">
      <c r="N151" s="27" t="s">
        <v>224</v>
      </c>
      <c r="O151" s="1">
        <v>1975.0</v>
      </c>
      <c r="P151" s="1">
        <v>27.34</v>
      </c>
      <c r="Q151" s="1">
        <v>118.01</v>
      </c>
      <c r="R151" s="1">
        <v>27.34</v>
      </c>
      <c r="S151" s="1">
        <v>118.01</v>
      </c>
    </row>
    <row r="152">
      <c r="N152" s="20" t="s">
        <v>212</v>
      </c>
      <c r="O152" s="1">
        <v>1980.0</v>
      </c>
      <c r="P152" s="1">
        <v>36.2</v>
      </c>
      <c r="Q152" s="1">
        <v>156.26</v>
      </c>
      <c r="R152" s="1">
        <v>35.63</v>
      </c>
      <c r="S152" s="1">
        <v>153.78</v>
      </c>
    </row>
    <row r="153">
      <c r="N153" s="20" t="s">
        <v>214</v>
      </c>
      <c r="O153" s="1">
        <v>1980.0</v>
      </c>
      <c r="P153" s="1">
        <v>42.41</v>
      </c>
      <c r="Q153" s="1">
        <v>183.05</v>
      </c>
      <c r="R153" s="1">
        <v>41.73</v>
      </c>
      <c r="S153" s="1">
        <v>180.14</v>
      </c>
    </row>
    <row r="154">
      <c r="N154" s="19" t="s">
        <v>216</v>
      </c>
      <c r="O154" s="1">
        <v>1980.0</v>
      </c>
      <c r="P154" s="1">
        <v>62.06</v>
      </c>
      <c r="Q154" s="1">
        <v>267.88</v>
      </c>
      <c r="R154" s="1">
        <v>61.07</v>
      </c>
      <c r="S154" s="1">
        <v>263.63</v>
      </c>
    </row>
    <row r="155">
      <c r="N155" s="20" t="s">
        <v>213</v>
      </c>
      <c r="O155" s="1">
        <v>1980.0</v>
      </c>
      <c r="P155" s="1">
        <v>46.54</v>
      </c>
      <c r="Q155" s="1">
        <v>200.91</v>
      </c>
      <c r="R155" s="1">
        <v>45.81</v>
      </c>
      <c r="S155" s="1">
        <v>197.72</v>
      </c>
    </row>
    <row r="156">
      <c r="N156" s="27" t="s">
        <v>218</v>
      </c>
      <c r="O156" s="1">
        <v>1980.0</v>
      </c>
      <c r="P156" s="1">
        <v>26.89</v>
      </c>
      <c r="Q156" s="1">
        <v>116.08</v>
      </c>
      <c r="R156" s="1">
        <v>26.47</v>
      </c>
      <c r="S156" s="1">
        <v>114.24</v>
      </c>
    </row>
    <row r="157">
      <c r="N157" s="19" t="s">
        <v>217</v>
      </c>
      <c r="O157" s="1">
        <v>1980.0</v>
      </c>
      <c r="P157" s="1">
        <v>31.03</v>
      </c>
      <c r="Q157" s="1">
        <v>133.94</v>
      </c>
      <c r="R157" s="1">
        <v>30.54</v>
      </c>
      <c r="S157" s="1">
        <v>131.81</v>
      </c>
    </row>
    <row r="158">
      <c r="N158" s="28" t="s">
        <v>220</v>
      </c>
      <c r="O158" s="1">
        <v>1980.0</v>
      </c>
      <c r="P158" s="1">
        <v>29.65</v>
      </c>
      <c r="Q158" s="1">
        <v>127.99</v>
      </c>
      <c r="R158" s="1">
        <v>43.77</v>
      </c>
      <c r="S158" s="1">
        <v>188.93</v>
      </c>
    </row>
    <row r="159">
      <c r="N159" s="29" t="s">
        <v>222</v>
      </c>
      <c r="O159" s="1">
        <v>1980.0</v>
      </c>
      <c r="P159" s="1">
        <v>22.24</v>
      </c>
      <c r="Q159" s="1">
        <v>95.99</v>
      </c>
      <c r="R159" s="1">
        <v>43.77</v>
      </c>
      <c r="S159" s="1">
        <v>188.93</v>
      </c>
    </row>
    <row r="160">
      <c r="N160" s="30" t="s">
        <v>215</v>
      </c>
      <c r="O160" s="1">
        <v>1980.0</v>
      </c>
      <c r="P160" s="1">
        <v>26.89</v>
      </c>
      <c r="Q160" s="1">
        <v>116.08</v>
      </c>
      <c r="R160" s="1">
        <v>52.93</v>
      </c>
      <c r="S160" s="1">
        <v>228.48</v>
      </c>
    </row>
    <row r="161">
      <c r="N161" s="27" t="s">
        <v>224</v>
      </c>
      <c r="O161" s="1">
        <v>1980.0</v>
      </c>
      <c r="P161" s="1">
        <v>26.89</v>
      </c>
      <c r="Q161" s="1">
        <v>116.08</v>
      </c>
      <c r="R161" s="1">
        <v>26.89</v>
      </c>
      <c r="S161" s="1">
        <v>116.08</v>
      </c>
    </row>
    <row r="162">
      <c r="N162" s="20" t="s">
        <v>212</v>
      </c>
      <c r="O162" s="1">
        <v>1985.0</v>
      </c>
      <c r="P162" s="1">
        <v>35.61</v>
      </c>
      <c r="Q162" s="1">
        <v>153.71</v>
      </c>
      <c r="R162" s="1">
        <v>35.01</v>
      </c>
      <c r="S162" s="1">
        <v>151.12</v>
      </c>
    </row>
    <row r="163">
      <c r="N163" s="20" t="s">
        <v>214</v>
      </c>
      <c r="O163" s="1">
        <v>1985.0</v>
      </c>
      <c r="P163" s="1">
        <v>41.72</v>
      </c>
      <c r="Q163" s="1">
        <v>180.07</v>
      </c>
      <c r="R163" s="1">
        <v>41.01</v>
      </c>
      <c r="S163" s="1">
        <v>177.03</v>
      </c>
    </row>
    <row r="164">
      <c r="N164" s="19" t="s">
        <v>216</v>
      </c>
      <c r="O164" s="1">
        <v>1985.0</v>
      </c>
      <c r="P164" s="1">
        <v>61.05</v>
      </c>
      <c r="Q164" s="1">
        <v>263.51</v>
      </c>
      <c r="R164" s="1">
        <v>60.02</v>
      </c>
      <c r="S164" s="1">
        <v>259.07</v>
      </c>
    </row>
    <row r="165">
      <c r="N165" s="20" t="s">
        <v>213</v>
      </c>
      <c r="O165" s="1">
        <v>1985.0</v>
      </c>
      <c r="P165" s="1">
        <v>45.79</v>
      </c>
      <c r="Q165" s="1">
        <v>197.63</v>
      </c>
      <c r="R165" s="1">
        <v>45.01</v>
      </c>
      <c r="S165" s="1">
        <v>194.3</v>
      </c>
    </row>
    <row r="166">
      <c r="N166" s="27" t="s">
        <v>218</v>
      </c>
      <c r="O166" s="1">
        <v>1985.0</v>
      </c>
      <c r="P166" s="1">
        <v>26.45</v>
      </c>
      <c r="Q166" s="1">
        <v>114.19</v>
      </c>
      <c r="R166" s="1">
        <v>26.01</v>
      </c>
      <c r="S166" s="1">
        <v>112.26</v>
      </c>
    </row>
    <row r="167">
      <c r="N167" s="19" t="s">
        <v>217</v>
      </c>
      <c r="O167" s="1">
        <v>1985.0</v>
      </c>
      <c r="P167" s="1">
        <v>30.52</v>
      </c>
      <c r="Q167" s="1">
        <v>131.76</v>
      </c>
      <c r="R167" s="1">
        <v>30.01</v>
      </c>
      <c r="S167" s="1">
        <v>129.54</v>
      </c>
    </row>
    <row r="168">
      <c r="N168" s="28" t="s">
        <v>220</v>
      </c>
      <c r="O168" s="1">
        <v>1985.0</v>
      </c>
      <c r="P168" s="1">
        <v>29.17</v>
      </c>
      <c r="Q168" s="1">
        <v>125.9</v>
      </c>
      <c r="R168" s="1">
        <v>43.01</v>
      </c>
      <c r="S168" s="1">
        <v>185.67</v>
      </c>
    </row>
    <row r="169">
      <c r="N169" s="29" t="s">
        <v>222</v>
      </c>
      <c r="O169" s="1">
        <v>1985.0</v>
      </c>
      <c r="P169" s="1">
        <v>21.88</v>
      </c>
      <c r="Q169" s="1">
        <v>94.42</v>
      </c>
      <c r="R169" s="1">
        <v>43.01</v>
      </c>
      <c r="S169" s="1">
        <v>185.67</v>
      </c>
    </row>
    <row r="170">
      <c r="N170" s="30" t="s">
        <v>215</v>
      </c>
      <c r="O170" s="1">
        <v>1985.0</v>
      </c>
      <c r="P170" s="1">
        <v>26.45</v>
      </c>
      <c r="Q170" s="1">
        <v>114.19</v>
      </c>
      <c r="R170" s="1">
        <v>52.02</v>
      </c>
      <c r="S170" s="1">
        <v>224.53</v>
      </c>
    </row>
    <row r="171">
      <c r="N171" s="27" t="s">
        <v>224</v>
      </c>
      <c r="O171" s="1">
        <v>1985.0</v>
      </c>
      <c r="P171" s="1">
        <v>26.45</v>
      </c>
      <c r="Q171" s="1">
        <v>114.19</v>
      </c>
      <c r="R171" s="1">
        <v>26.45</v>
      </c>
      <c r="S171" s="1">
        <v>114.19</v>
      </c>
    </row>
    <row r="172">
      <c r="N172" s="20" t="s">
        <v>212</v>
      </c>
      <c r="O172" s="1">
        <v>1990.0</v>
      </c>
      <c r="P172" s="1">
        <v>35.03</v>
      </c>
      <c r="Q172" s="1">
        <v>151.21</v>
      </c>
      <c r="R172" s="1">
        <v>34.41</v>
      </c>
      <c r="S172" s="1">
        <v>148.51</v>
      </c>
    </row>
    <row r="173">
      <c r="N173" s="20" t="s">
        <v>214</v>
      </c>
      <c r="O173" s="1">
        <v>1990.0</v>
      </c>
      <c r="P173" s="1">
        <v>41.04</v>
      </c>
      <c r="Q173" s="1">
        <v>177.13</v>
      </c>
      <c r="R173" s="1">
        <v>40.3</v>
      </c>
      <c r="S173" s="1">
        <v>173.97</v>
      </c>
    </row>
    <row r="174">
      <c r="N174" s="19" t="s">
        <v>216</v>
      </c>
      <c r="O174" s="1">
        <v>1990.0</v>
      </c>
      <c r="P174" s="1">
        <v>60.05</v>
      </c>
      <c r="Q174" s="1">
        <v>259.21</v>
      </c>
      <c r="R174" s="1">
        <v>58.98</v>
      </c>
      <c r="S174" s="1">
        <v>254.59</v>
      </c>
    </row>
    <row r="175">
      <c r="N175" s="20" t="s">
        <v>213</v>
      </c>
      <c r="O175" s="1">
        <v>1990.0</v>
      </c>
      <c r="P175" s="1">
        <v>45.04</v>
      </c>
      <c r="Q175" s="1">
        <v>194.41</v>
      </c>
      <c r="R175" s="1">
        <v>44.24</v>
      </c>
      <c r="S175" s="1">
        <v>190.94</v>
      </c>
    </row>
    <row r="176">
      <c r="N176" s="27" t="s">
        <v>218</v>
      </c>
      <c r="O176" s="1">
        <v>1990.0</v>
      </c>
      <c r="P176" s="1">
        <v>26.02</v>
      </c>
      <c r="Q176" s="1">
        <v>112.33</v>
      </c>
      <c r="R176" s="1">
        <v>25.56</v>
      </c>
      <c r="S176" s="1">
        <v>110.32</v>
      </c>
    </row>
    <row r="177">
      <c r="N177" s="19" t="s">
        <v>217</v>
      </c>
      <c r="O177" s="1">
        <v>1990.0</v>
      </c>
      <c r="P177" s="1">
        <v>30.03</v>
      </c>
      <c r="Q177" s="1">
        <v>129.61</v>
      </c>
      <c r="R177" s="1">
        <v>29.49</v>
      </c>
      <c r="S177" s="1">
        <v>127.3</v>
      </c>
    </row>
    <row r="178">
      <c r="N178" s="28" t="s">
        <v>220</v>
      </c>
      <c r="O178" s="1">
        <v>1990.0</v>
      </c>
      <c r="P178" s="1">
        <v>28.69</v>
      </c>
      <c r="Q178" s="1">
        <v>123.85</v>
      </c>
      <c r="R178" s="1">
        <v>42.27</v>
      </c>
      <c r="S178" s="1">
        <v>182.46</v>
      </c>
    </row>
    <row r="179">
      <c r="N179" s="29" t="s">
        <v>222</v>
      </c>
      <c r="O179" s="1">
        <v>1990.0</v>
      </c>
      <c r="P179" s="1">
        <v>21.52</v>
      </c>
      <c r="Q179" s="1">
        <v>92.89</v>
      </c>
      <c r="R179" s="1">
        <v>42.27</v>
      </c>
      <c r="S179" s="1">
        <v>182.46</v>
      </c>
    </row>
    <row r="180">
      <c r="N180" s="30" t="s">
        <v>215</v>
      </c>
      <c r="O180" s="1">
        <v>1990.0</v>
      </c>
      <c r="P180" s="1">
        <v>26.02</v>
      </c>
      <c r="Q180" s="1">
        <v>112.33</v>
      </c>
      <c r="R180" s="1">
        <v>51.12</v>
      </c>
      <c r="S180" s="1">
        <v>220.65</v>
      </c>
    </row>
    <row r="181">
      <c r="N181" s="27" t="s">
        <v>224</v>
      </c>
      <c r="O181" s="1">
        <v>1990.0</v>
      </c>
      <c r="P181" s="1">
        <v>26.02</v>
      </c>
      <c r="Q181" s="1">
        <v>112.33</v>
      </c>
      <c r="R181" s="1">
        <v>26.02</v>
      </c>
      <c r="S181" s="1">
        <v>112.33</v>
      </c>
    </row>
    <row r="182">
      <c r="N182" s="20" t="s">
        <v>212</v>
      </c>
      <c r="O182" s="1">
        <v>1995.0</v>
      </c>
      <c r="P182" s="1">
        <v>34.46</v>
      </c>
      <c r="Q182" s="1">
        <v>148.74</v>
      </c>
      <c r="R182" s="1">
        <v>33.81</v>
      </c>
      <c r="S182" s="1">
        <v>145.95</v>
      </c>
    </row>
    <row r="183">
      <c r="N183" s="20" t="s">
        <v>214</v>
      </c>
      <c r="O183" s="1">
        <v>1995.0</v>
      </c>
      <c r="P183" s="1">
        <v>40.37</v>
      </c>
      <c r="Q183" s="1">
        <v>174.24</v>
      </c>
      <c r="R183" s="1">
        <v>39.61</v>
      </c>
      <c r="S183" s="1">
        <v>170.97</v>
      </c>
    </row>
    <row r="184">
      <c r="N184" s="19" t="s">
        <v>216</v>
      </c>
      <c r="O184" s="1">
        <v>1995.0</v>
      </c>
      <c r="P184" s="1">
        <v>59.07</v>
      </c>
      <c r="Q184" s="1">
        <v>254.99</v>
      </c>
      <c r="R184" s="1">
        <v>57.96</v>
      </c>
      <c r="S184" s="1">
        <v>250.19</v>
      </c>
    </row>
    <row r="185">
      <c r="N185" s="20" t="s">
        <v>213</v>
      </c>
      <c r="O185" s="1">
        <v>1995.0</v>
      </c>
      <c r="P185" s="1">
        <v>44.3</v>
      </c>
      <c r="Q185" s="1">
        <v>191.24</v>
      </c>
      <c r="R185" s="1">
        <v>43.47</v>
      </c>
      <c r="S185" s="1">
        <v>187.65</v>
      </c>
    </row>
    <row r="186">
      <c r="N186" s="27" t="s">
        <v>218</v>
      </c>
      <c r="O186" s="1">
        <v>1995.0</v>
      </c>
      <c r="P186" s="1">
        <v>25.6</v>
      </c>
      <c r="Q186" s="1">
        <v>110.49</v>
      </c>
      <c r="R186" s="1">
        <v>25.12</v>
      </c>
      <c r="S186" s="1">
        <v>108.42</v>
      </c>
    </row>
    <row r="187">
      <c r="N187" s="19" t="s">
        <v>217</v>
      </c>
      <c r="O187" s="1">
        <v>1995.0</v>
      </c>
      <c r="P187" s="1">
        <v>29.54</v>
      </c>
      <c r="Q187" s="1">
        <v>127.49</v>
      </c>
      <c r="R187" s="1">
        <v>28.98</v>
      </c>
      <c r="S187" s="1">
        <v>125.1</v>
      </c>
    </row>
    <row r="188">
      <c r="N188" s="28" t="s">
        <v>220</v>
      </c>
      <c r="O188" s="1">
        <v>1995.0</v>
      </c>
      <c r="P188" s="1">
        <v>28.22</v>
      </c>
      <c r="Q188" s="1">
        <v>121.83</v>
      </c>
      <c r="R188" s="1">
        <v>41.54</v>
      </c>
      <c r="S188" s="1">
        <v>179.31</v>
      </c>
    </row>
    <row r="189">
      <c r="N189" s="29" t="s">
        <v>222</v>
      </c>
      <c r="O189" s="1">
        <v>1995.0</v>
      </c>
      <c r="P189" s="1">
        <v>21.17</v>
      </c>
      <c r="Q189" s="1">
        <v>91.37</v>
      </c>
      <c r="R189" s="1">
        <v>41.54</v>
      </c>
      <c r="S189" s="1">
        <v>179.31</v>
      </c>
    </row>
    <row r="190">
      <c r="N190" s="30" t="s">
        <v>215</v>
      </c>
      <c r="O190" s="1">
        <v>1995.0</v>
      </c>
      <c r="P190" s="1">
        <v>25.6</v>
      </c>
      <c r="Q190" s="1">
        <v>110.49</v>
      </c>
      <c r="R190" s="1">
        <v>50.23</v>
      </c>
      <c r="S190" s="1">
        <v>216.83</v>
      </c>
    </row>
    <row r="191">
      <c r="N191" s="27" t="s">
        <v>224</v>
      </c>
      <c r="O191" s="1">
        <v>1995.0</v>
      </c>
      <c r="P191" s="1">
        <v>25.6</v>
      </c>
      <c r="Q191" s="1">
        <v>110.49</v>
      </c>
      <c r="R191" s="1">
        <v>25.6</v>
      </c>
      <c r="S191" s="1">
        <v>110.49</v>
      </c>
    </row>
    <row r="192">
      <c r="N192" s="1" t="s">
        <v>223</v>
      </c>
      <c r="O192" s="1">
        <v>1995.0</v>
      </c>
      <c r="P192" s="1">
        <v>26.58</v>
      </c>
      <c r="Q192" s="1">
        <v>114.74</v>
      </c>
      <c r="R192" s="1">
        <v>52.17</v>
      </c>
      <c r="S192" s="1">
        <v>225.17</v>
      </c>
    </row>
    <row r="193">
      <c r="N193" s="20" t="s">
        <v>212</v>
      </c>
      <c r="O193" s="1">
        <v>2000.0</v>
      </c>
      <c r="P193" s="1">
        <v>33.9</v>
      </c>
      <c r="Q193" s="1">
        <v>146.32</v>
      </c>
      <c r="R193" s="1">
        <v>33.23</v>
      </c>
      <c r="S193" s="1">
        <v>143.43</v>
      </c>
    </row>
    <row r="194">
      <c r="N194" s="20" t="s">
        <v>214</v>
      </c>
      <c r="O194" s="1">
        <v>2000.0</v>
      </c>
      <c r="P194" s="1">
        <v>39.71</v>
      </c>
      <c r="Q194" s="1">
        <v>171.4</v>
      </c>
      <c r="R194" s="1">
        <v>38.92</v>
      </c>
      <c r="S194" s="1">
        <v>168.01</v>
      </c>
    </row>
    <row r="195">
      <c r="N195" s="19" t="s">
        <v>216</v>
      </c>
      <c r="O195" s="1">
        <v>2000.0</v>
      </c>
      <c r="P195" s="1">
        <v>58.11</v>
      </c>
      <c r="Q195" s="1">
        <v>250.83</v>
      </c>
      <c r="R195" s="1">
        <v>56.96</v>
      </c>
      <c r="S195" s="1">
        <v>245.87</v>
      </c>
    </row>
    <row r="196">
      <c r="N196" s="20" t="s">
        <v>213</v>
      </c>
      <c r="O196" s="1">
        <v>2000.0</v>
      </c>
      <c r="P196" s="1">
        <v>43.58</v>
      </c>
      <c r="Q196" s="1">
        <v>188.12</v>
      </c>
      <c r="R196" s="1">
        <v>42.72</v>
      </c>
      <c r="S196" s="1">
        <v>184.4</v>
      </c>
    </row>
    <row r="197">
      <c r="N197" s="27" t="s">
        <v>218</v>
      </c>
      <c r="O197" s="1">
        <v>2000.0</v>
      </c>
      <c r="P197" s="1">
        <v>25.18</v>
      </c>
      <c r="Q197" s="1">
        <v>108.69</v>
      </c>
      <c r="R197" s="1">
        <v>24.68</v>
      </c>
      <c r="S197" s="1">
        <v>106.54</v>
      </c>
    </row>
    <row r="198">
      <c r="N198" s="19" t="s">
        <v>217</v>
      </c>
      <c r="O198" s="1">
        <v>2000.0</v>
      </c>
      <c r="P198" s="1">
        <v>29.05</v>
      </c>
      <c r="Q198" s="1">
        <v>125.41</v>
      </c>
      <c r="R198" s="1">
        <v>28.48</v>
      </c>
      <c r="S198" s="1">
        <v>122.94</v>
      </c>
    </row>
    <row r="199">
      <c r="N199" s="28" t="s">
        <v>220</v>
      </c>
      <c r="O199" s="1">
        <v>2000.0</v>
      </c>
      <c r="P199" s="1">
        <v>27.76</v>
      </c>
      <c r="Q199" s="1">
        <v>119.84</v>
      </c>
      <c r="R199" s="1">
        <v>40.82</v>
      </c>
      <c r="S199" s="1">
        <v>176.21</v>
      </c>
    </row>
    <row r="200">
      <c r="N200" s="29" t="s">
        <v>222</v>
      </c>
      <c r="O200" s="1">
        <v>2000.0</v>
      </c>
      <c r="P200" s="1">
        <v>20.82</v>
      </c>
      <c r="Q200" s="1">
        <v>89.88</v>
      </c>
      <c r="R200" s="1">
        <v>40.82</v>
      </c>
      <c r="S200" s="1">
        <v>176.21</v>
      </c>
    </row>
    <row r="201">
      <c r="N201" s="30" t="s">
        <v>215</v>
      </c>
      <c r="O201" s="1">
        <v>2000.0</v>
      </c>
      <c r="P201" s="1">
        <v>25.18</v>
      </c>
      <c r="Q201" s="1">
        <v>108.69</v>
      </c>
      <c r="R201" s="1">
        <v>49.37</v>
      </c>
      <c r="S201" s="1">
        <v>213.09</v>
      </c>
    </row>
    <row r="202">
      <c r="N202" s="27" t="s">
        <v>224</v>
      </c>
      <c r="O202" s="1">
        <v>2000.0</v>
      </c>
      <c r="P202" s="1">
        <v>25.18</v>
      </c>
      <c r="Q202" s="1">
        <v>108.69</v>
      </c>
      <c r="R202" s="1">
        <v>25.18</v>
      </c>
      <c r="S202" s="1">
        <v>108.69</v>
      </c>
    </row>
    <row r="203">
      <c r="N203" s="1" t="s">
        <v>223</v>
      </c>
      <c r="O203" s="1">
        <v>2000.0</v>
      </c>
      <c r="P203" s="1">
        <v>26.15</v>
      </c>
      <c r="Q203" s="1">
        <v>112.87</v>
      </c>
      <c r="R203" s="1">
        <v>51.26</v>
      </c>
      <c r="S203" s="1">
        <v>221.28</v>
      </c>
    </row>
    <row r="204">
      <c r="N204" s="20" t="s">
        <v>212</v>
      </c>
      <c r="O204" s="1">
        <v>2005.0</v>
      </c>
      <c r="P204" s="1">
        <v>33.34</v>
      </c>
      <c r="Q204" s="1">
        <v>143.93</v>
      </c>
      <c r="R204" s="1">
        <v>32.65</v>
      </c>
      <c r="S204" s="1">
        <v>140.95</v>
      </c>
    </row>
    <row r="205">
      <c r="N205" s="20" t="s">
        <v>214</v>
      </c>
      <c r="O205" s="1">
        <v>2005.0</v>
      </c>
      <c r="P205" s="1">
        <v>39.06</v>
      </c>
      <c r="Q205" s="1">
        <v>168.6</v>
      </c>
      <c r="R205" s="1">
        <v>38.25</v>
      </c>
      <c r="S205" s="1">
        <v>165.11</v>
      </c>
    </row>
    <row r="206">
      <c r="N206" s="19" t="s">
        <v>216</v>
      </c>
      <c r="O206" s="1">
        <v>2005.0</v>
      </c>
      <c r="P206" s="1">
        <v>57.16</v>
      </c>
      <c r="Q206" s="1">
        <v>246.74</v>
      </c>
      <c r="R206" s="1">
        <v>55.98</v>
      </c>
      <c r="S206" s="1">
        <v>241.62</v>
      </c>
    </row>
    <row r="207">
      <c r="N207" s="20" t="s">
        <v>213</v>
      </c>
      <c r="O207" s="1">
        <v>2005.0</v>
      </c>
      <c r="P207" s="1">
        <v>42.87</v>
      </c>
      <c r="Q207" s="1">
        <v>185.05</v>
      </c>
      <c r="R207" s="1">
        <v>41.98</v>
      </c>
      <c r="S207" s="1">
        <v>181.22</v>
      </c>
    </row>
    <row r="208">
      <c r="N208" s="27" t="s">
        <v>218</v>
      </c>
      <c r="O208" s="1">
        <v>2005.0</v>
      </c>
      <c r="P208" s="1">
        <v>24.77</v>
      </c>
      <c r="Q208" s="1">
        <v>106.92</v>
      </c>
      <c r="R208" s="1">
        <v>24.26</v>
      </c>
      <c r="S208" s="1">
        <v>104.7</v>
      </c>
    </row>
    <row r="209">
      <c r="N209" s="19" t="s">
        <v>217</v>
      </c>
      <c r="O209" s="1">
        <v>2005.0</v>
      </c>
      <c r="P209" s="1">
        <v>28.58</v>
      </c>
      <c r="Q209" s="1">
        <v>123.37</v>
      </c>
      <c r="R209" s="1">
        <v>27.99</v>
      </c>
      <c r="S209" s="1">
        <v>120.81</v>
      </c>
    </row>
    <row r="210">
      <c r="N210" s="28" t="s">
        <v>220</v>
      </c>
      <c r="O210" s="1">
        <v>2005.0</v>
      </c>
      <c r="P210" s="1">
        <v>27.31</v>
      </c>
      <c r="Q210" s="1">
        <v>117.89</v>
      </c>
      <c r="R210" s="1">
        <v>40.12</v>
      </c>
      <c r="S210" s="1">
        <v>173.16</v>
      </c>
    </row>
    <row r="211">
      <c r="N211" s="29" t="s">
        <v>222</v>
      </c>
      <c r="O211" s="1">
        <v>2005.0</v>
      </c>
      <c r="P211" s="1">
        <v>20.48</v>
      </c>
      <c r="Q211" s="1">
        <v>88.41</v>
      </c>
      <c r="R211" s="1">
        <v>40.12</v>
      </c>
      <c r="S211" s="1">
        <v>173.16</v>
      </c>
    </row>
    <row r="212">
      <c r="N212" s="30" t="s">
        <v>215</v>
      </c>
      <c r="O212" s="1">
        <v>2005.0</v>
      </c>
      <c r="P212" s="1">
        <v>24.77</v>
      </c>
      <c r="Q212" s="1">
        <v>106.92</v>
      </c>
      <c r="R212" s="1">
        <v>48.51</v>
      </c>
      <c r="S212" s="1">
        <v>209.4</v>
      </c>
    </row>
    <row r="213">
      <c r="N213" s="27" t="s">
        <v>224</v>
      </c>
      <c r="O213" s="1">
        <v>2005.0</v>
      </c>
      <c r="P213" s="1">
        <v>24.77</v>
      </c>
      <c r="Q213" s="1">
        <v>106.92</v>
      </c>
      <c r="R213" s="1">
        <v>24.77</v>
      </c>
      <c r="S213" s="1">
        <v>106.92</v>
      </c>
    </row>
    <row r="214">
      <c r="N214" s="1" t="s">
        <v>223</v>
      </c>
      <c r="O214" s="1">
        <v>2005.0</v>
      </c>
      <c r="P214" s="1">
        <v>25.72</v>
      </c>
      <c r="Q214" s="1">
        <v>111.03</v>
      </c>
      <c r="R214" s="1">
        <v>50.38</v>
      </c>
      <c r="S214" s="1">
        <v>217.46</v>
      </c>
    </row>
    <row r="215">
      <c r="N215" s="20" t="s">
        <v>212</v>
      </c>
      <c r="O215" s="1">
        <v>2010.0</v>
      </c>
      <c r="P215" s="1">
        <v>32.8</v>
      </c>
      <c r="Q215" s="1">
        <v>141.58</v>
      </c>
      <c r="R215" s="1">
        <v>32.09</v>
      </c>
      <c r="S215" s="1">
        <v>138.51</v>
      </c>
    </row>
    <row r="216">
      <c r="N216" s="20" t="s">
        <v>214</v>
      </c>
      <c r="O216" s="1">
        <v>2010.0</v>
      </c>
      <c r="P216" s="1">
        <v>38.42</v>
      </c>
      <c r="Q216" s="1">
        <v>165.85</v>
      </c>
      <c r="R216" s="1">
        <v>37.59</v>
      </c>
      <c r="S216" s="1">
        <v>162.25</v>
      </c>
    </row>
    <row r="217">
      <c r="N217" s="19" t="s">
        <v>216</v>
      </c>
      <c r="O217" s="1">
        <v>2010.0</v>
      </c>
      <c r="P217" s="1">
        <v>56.23</v>
      </c>
      <c r="Q217" s="1">
        <v>242.71</v>
      </c>
      <c r="R217" s="1">
        <v>55.01</v>
      </c>
      <c r="S217" s="1">
        <v>237.45</v>
      </c>
    </row>
    <row r="218">
      <c r="N218" s="20" t="s">
        <v>213</v>
      </c>
      <c r="O218" s="1">
        <v>2010.0</v>
      </c>
      <c r="P218" s="1">
        <v>42.17</v>
      </c>
      <c r="Q218" s="1">
        <v>182.03</v>
      </c>
      <c r="R218" s="1">
        <v>41.26</v>
      </c>
      <c r="S218" s="1">
        <v>178.08</v>
      </c>
    </row>
    <row r="219">
      <c r="N219" s="27" t="s">
        <v>218</v>
      </c>
      <c r="O219" s="1">
        <v>2010.0</v>
      </c>
      <c r="P219" s="1">
        <v>24.37</v>
      </c>
      <c r="Q219" s="1">
        <v>105.18</v>
      </c>
      <c r="R219" s="1">
        <v>23.84</v>
      </c>
      <c r="S219" s="1">
        <v>102.89</v>
      </c>
    </row>
    <row r="220">
      <c r="N220" s="19" t="s">
        <v>217</v>
      </c>
      <c r="O220" s="1">
        <v>2010.0</v>
      </c>
      <c r="P220" s="1">
        <v>28.11</v>
      </c>
      <c r="Q220" s="1">
        <v>121.36</v>
      </c>
      <c r="R220" s="1">
        <v>27.5</v>
      </c>
      <c r="S220" s="1">
        <v>118.72</v>
      </c>
    </row>
    <row r="221">
      <c r="N221" s="28" t="s">
        <v>220</v>
      </c>
      <c r="O221" s="1">
        <v>2010.0</v>
      </c>
      <c r="P221" s="1">
        <v>26.86</v>
      </c>
      <c r="Q221" s="1">
        <v>115.96</v>
      </c>
      <c r="R221" s="1">
        <v>39.42</v>
      </c>
      <c r="S221" s="1">
        <v>170.17</v>
      </c>
    </row>
    <row r="222">
      <c r="N222" s="29" t="s">
        <v>222</v>
      </c>
      <c r="O222" s="1">
        <v>2010.0</v>
      </c>
      <c r="P222" s="1">
        <v>20.15</v>
      </c>
      <c r="Q222" s="1">
        <v>86.97</v>
      </c>
      <c r="R222" s="1">
        <v>39.42</v>
      </c>
      <c r="S222" s="1">
        <v>170.17</v>
      </c>
    </row>
    <row r="223">
      <c r="N223" s="30" t="s">
        <v>215</v>
      </c>
      <c r="O223" s="1">
        <v>2010.0</v>
      </c>
      <c r="P223" s="1">
        <v>24.37</v>
      </c>
      <c r="Q223" s="1">
        <v>105.18</v>
      </c>
      <c r="R223" s="1">
        <v>47.67</v>
      </c>
      <c r="S223" s="1">
        <v>205.79</v>
      </c>
    </row>
    <row r="224">
      <c r="N224" s="27" t="s">
        <v>224</v>
      </c>
      <c r="O224" s="1">
        <v>2010.0</v>
      </c>
      <c r="P224" s="1">
        <v>24.37</v>
      </c>
      <c r="Q224" s="1">
        <v>105.18</v>
      </c>
      <c r="R224" s="1">
        <v>24.37</v>
      </c>
      <c r="S224" s="1">
        <v>105.18</v>
      </c>
    </row>
    <row r="225">
      <c r="N225" s="1" t="s">
        <v>223</v>
      </c>
      <c r="O225" s="1">
        <v>2010.0</v>
      </c>
      <c r="P225" s="1">
        <v>25.3</v>
      </c>
      <c r="Q225" s="1">
        <v>109.22</v>
      </c>
      <c r="R225" s="1">
        <v>49.51</v>
      </c>
      <c r="S225" s="1">
        <v>213.7</v>
      </c>
    </row>
    <row r="226">
      <c r="N226" s="20" t="s">
        <v>212</v>
      </c>
      <c r="O226" s="1">
        <v>2015.0</v>
      </c>
      <c r="P226" s="1">
        <v>32.27</v>
      </c>
      <c r="Q226" s="1">
        <v>139.27</v>
      </c>
      <c r="R226" s="1">
        <v>31.53</v>
      </c>
      <c r="S226" s="1">
        <v>136.12</v>
      </c>
    </row>
    <row r="227">
      <c r="N227" s="20" t="s">
        <v>214</v>
      </c>
      <c r="O227" s="1">
        <v>2015.0</v>
      </c>
      <c r="P227" s="1">
        <v>37.8</v>
      </c>
      <c r="Q227" s="1">
        <v>163.15</v>
      </c>
      <c r="R227" s="1">
        <v>36.94</v>
      </c>
      <c r="S227" s="1">
        <v>159.45</v>
      </c>
    </row>
    <row r="228">
      <c r="N228" s="19" t="s">
        <v>216</v>
      </c>
      <c r="O228" s="1">
        <v>2015.0</v>
      </c>
      <c r="P228" s="1">
        <v>55.31</v>
      </c>
      <c r="Q228" s="1">
        <v>238.76</v>
      </c>
      <c r="R228" s="1">
        <v>54.06</v>
      </c>
      <c r="S228" s="1">
        <v>233.34</v>
      </c>
    </row>
    <row r="229">
      <c r="N229" s="20" t="s">
        <v>213</v>
      </c>
      <c r="O229" s="1">
        <v>2015.0</v>
      </c>
      <c r="P229" s="1">
        <v>41.48</v>
      </c>
      <c r="Q229" s="1">
        <v>179.07</v>
      </c>
      <c r="R229" s="1">
        <v>40.54</v>
      </c>
      <c r="S229" s="1">
        <v>175.01</v>
      </c>
    </row>
    <row r="230">
      <c r="N230" s="27" t="s">
        <v>218</v>
      </c>
      <c r="O230" s="1">
        <v>2015.0</v>
      </c>
      <c r="P230" s="1">
        <v>23.97</v>
      </c>
      <c r="Q230" s="1">
        <v>103.46</v>
      </c>
      <c r="R230" s="1">
        <v>23.43</v>
      </c>
      <c r="S230" s="1">
        <v>101.12</v>
      </c>
    </row>
    <row r="231">
      <c r="N231" s="19" t="s">
        <v>217</v>
      </c>
      <c r="O231" s="1">
        <v>2015.0</v>
      </c>
      <c r="P231" s="1">
        <v>27.66</v>
      </c>
      <c r="Q231" s="1">
        <v>119.38</v>
      </c>
      <c r="R231" s="1">
        <v>27.03</v>
      </c>
      <c r="S231" s="1">
        <v>116.67</v>
      </c>
    </row>
    <row r="232">
      <c r="N232" s="28" t="s">
        <v>220</v>
      </c>
      <c r="O232" s="1">
        <v>2015.0</v>
      </c>
      <c r="P232" s="1">
        <v>26.43</v>
      </c>
      <c r="Q232" s="1">
        <v>114.07</v>
      </c>
      <c r="R232" s="1">
        <v>38.74</v>
      </c>
      <c r="S232" s="1">
        <v>167.23</v>
      </c>
    </row>
    <row r="233">
      <c r="N233" s="29" t="s">
        <v>222</v>
      </c>
      <c r="O233" s="1">
        <v>2015.0</v>
      </c>
      <c r="P233" s="1">
        <v>19.82</v>
      </c>
      <c r="Q233" s="1">
        <v>85.55</v>
      </c>
      <c r="R233" s="1">
        <v>38.74</v>
      </c>
      <c r="S233" s="1">
        <v>167.23</v>
      </c>
    </row>
    <row r="234">
      <c r="N234" s="30" t="s">
        <v>215</v>
      </c>
      <c r="O234" s="1">
        <v>2015.0</v>
      </c>
      <c r="P234" s="1">
        <v>23.97</v>
      </c>
      <c r="Q234" s="1">
        <v>103.46</v>
      </c>
      <c r="R234" s="1">
        <v>46.85</v>
      </c>
      <c r="S234" s="1">
        <v>202.23</v>
      </c>
    </row>
    <row r="235">
      <c r="N235" s="27" t="s">
        <v>224</v>
      </c>
      <c r="O235" s="1">
        <v>2015.0</v>
      </c>
      <c r="P235" s="1">
        <v>23.97</v>
      </c>
      <c r="Q235" s="1">
        <v>103.46</v>
      </c>
      <c r="R235" s="1">
        <v>23.97</v>
      </c>
      <c r="S235" s="1">
        <v>103.46</v>
      </c>
    </row>
    <row r="236">
      <c r="N236" s="1" t="s">
        <v>223</v>
      </c>
      <c r="O236" s="1">
        <v>2015.0</v>
      </c>
      <c r="P236" s="1">
        <v>24.89</v>
      </c>
      <c r="Q236" s="1">
        <v>107.44</v>
      </c>
      <c r="R236" s="1">
        <v>48.65</v>
      </c>
      <c r="S236" s="1">
        <v>210.01</v>
      </c>
    </row>
    <row r="237">
      <c r="N237" s="20" t="s">
        <v>212</v>
      </c>
      <c r="O237" s="1">
        <v>2020.0</v>
      </c>
      <c r="P237" s="1">
        <v>31.74</v>
      </c>
      <c r="Q237" s="1">
        <v>137.0</v>
      </c>
      <c r="R237" s="1">
        <v>30.99</v>
      </c>
      <c r="S237" s="1">
        <v>133.77</v>
      </c>
    </row>
    <row r="238">
      <c r="N238" s="20" t="s">
        <v>214</v>
      </c>
      <c r="O238" s="1">
        <v>2020.0</v>
      </c>
      <c r="P238" s="1">
        <v>37.18</v>
      </c>
      <c r="Q238" s="1">
        <v>160.49</v>
      </c>
      <c r="R238" s="1">
        <v>36.3</v>
      </c>
      <c r="S238" s="1">
        <v>156.7</v>
      </c>
    </row>
    <row r="239">
      <c r="N239" s="19" t="s">
        <v>216</v>
      </c>
      <c r="O239" s="1">
        <v>2020.0</v>
      </c>
      <c r="P239" s="1">
        <v>54.41</v>
      </c>
      <c r="Q239" s="1">
        <v>234.86</v>
      </c>
      <c r="R239" s="1">
        <v>53.12</v>
      </c>
      <c r="S239" s="1">
        <v>229.31</v>
      </c>
    </row>
    <row r="240">
      <c r="N240" s="20" t="s">
        <v>213</v>
      </c>
      <c r="O240" s="1">
        <v>2020.0</v>
      </c>
      <c r="P240" s="1">
        <v>40.81</v>
      </c>
      <c r="Q240" s="1">
        <v>176.15</v>
      </c>
      <c r="R240" s="1">
        <v>39.84</v>
      </c>
      <c r="S240" s="1">
        <v>171.98</v>
      </c>
    </row>
    <row r="241">
      <c r="N241" s="27" t="s">
        <v>218</v>
      </c>
      <c r="O241" s="1">
        <v>2020.0</v>
      </c>
      <c r="P241" s="1">
        <v>23.58</v>
      </c>
      <c r="Q241" s="1">
        <v>101.77</v>
      </c>
      <c r="R241" s="1">
        <v>23.02</v>
      </c>
      <c r="S241" s="1">
        <v>99.37</v>
      </c>
    </row>
    <row r="242">
      <c r="N242" s="19" t="s">
        <v>217</v>
      </c>
      <c r="O242" s="1">
        <v>2020.0</v>
      </c>
      <c r="P242" s="1">
        <v>27.21</v>
      </c>
      <c r="Q242" s="1">
        <v>117.43</v>
      </c>
      <c r="R242" s="1">
        <v>26.56</v>
      </c>
      <c r="S242" s="1">
        <v>114.66</v>
      </c>
    </row>
    <row r="243">
      <c r="N243" s="28" t="s">
        <v>220</v>
      </c>
      <c r="O243" s="1">
        <v>2020.0</v>
      </c>
      <c r="P243" s="1">
        <v>26.0</v>
      </c>
      <c r="Q243" s="1">
        <v>112.21</v>
      </c>
      <c r="R243" s="1">
        <v>38.07</v>
      </c>
      <c r="S243" s="1">
        <v>164.34</v>
      </c>
    </row>
    <row r="244">
      <c r="N244" s="29" t="s">
        <v>222</v>
      </c>
      <c r="O244" s="1">
        <v>2020.0</v>
      </c>
      <c r="P244" s="1">
        <v>19.5</v>
      </c>
      <c r="Q244" s="1">
        <v>84.16</v>
      </c>
      <c r="R244" s="1">
        <v>38.07</v>
      </c>
      <c r="S244" s="1">
        <v>164.34</v>
      </c>
    </row>
    <row r="245">
      <c r="N245" s="30" t="s">
        <v>215</v>
      </c>
      <c r="O245" s="1">
        <v>2020.0</v>
      </c>
      <c r="P245" s="1">
        <v>23.58</v>
      </c>
      <c r="Q245" s="1">
        <v>101.77</v>
      </c>
      <c r="R245" s="1">
        <v>46.04</v>
      </c>
      <c r="S245" s="1">
        <v>198.74</v>
      </c>
    </row>
    <row r="246">
      <c r="N246" s="27" t="s">
        <v>224</v>
      </c>
      <c r="O246" s="1">
        <v>2020.0</v>
      </c>
      <c r="P246" s="1">
        <v>23.58</v>
      </c>
      <c r="Q246" s="1">
        <v>101.77</v>
      </c>
      <c r="R246" s="1">
        <v>23.58</v>
      </c>
      <c r="S246" s="1">
        <v>101.77</v>
      </c>
    </row>
    <row r="247">
      <c r="N247" s="1" t="s">
        <v>223</v>
      </c>
      <c r="O247" s="1">
        <v>2020.0</v>
      </c>
      <c r="P247" s="1">
        <v>24.48</v>
      </c>
      <c r="Q247" s="1">
        <v>105.69</v>
      </c>
      <c r="R247" s="1">
        <v>47.81</v>
      </c>
      <c r="S247" s="1">
        <v>206.38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5"/>
    <col customWidth="1" min="3" max="3" width="8.13"/>
    <col customWidth="1" min="4" max="4" width="8.63"/>
    <col customWidth="1" min="5" max="5" width="9.38"/>
    <col customWidth="1" min="6" max="6" width="9.88"/>
  </cols>
  <sheetData>
    <row r="1">
      <c r="A1" s="1" t="s">
        <v>199</v>
      </c>
      <c r="B1" s="1" t="s">
        <v>204</v>
      </c>
      <c r="C1" s="1" t="s">
        <v>207</v>
      </c>
      <c r="D1" s="1" t="s">
        <v>208</v>
      </c>
      <c r="E1" s="1" t="s">
        <v>209</v>
      </c>
      <c r="F1" s="1" t="s">
        <v>210</v>
      </c>
    </row>
    <row r="2">
      <c r="A2" s="20" t="s">
        <v>212</v>
      </c>
      <c r="B2" s="1">
        <v>1900.0</v>
      </c>
      <c r="C2" s="1">
        <v>47.1</v>
      </c>
      <c r="D2" s="1">
        <v>203.29</v>
      </c>
      <c r="E2" s="1">
        <v>47.09</v>
      </c>
      <c r="F2" s="1">
        <v>203.25</v>
      </c>
    </row>
    <row r="3">
      <c r="A3" s="20" t="s">
        <v>214</v>
      </c>
      <c r="B3" s="1">
        <v>1900.0</v>
      </c>
      <c r="C3" s="23">
        <v>55.17</v>
      </c>
      <c r="D3" s="23">
        <v>238.14</v>
      </c>
      <c r="E3" s="23">
        <v>55.16</v>
      </c>
      <c r="F3" s="24">
        <v>238.09</v>
      </c>
    </row>
    <row r="4">
      <c r="A4" s="19" t="s">
        <v>216</v>
      </c>
      <c r="B4" s="1">
        <v>1900.0</v>
      </c>
      <c r="C4" s="24">
        <v>80.73</v>
      </c>
      <c r="D4" s="24">
        <v>348.49</v>
      </c>
      <c r="E4" s="24">
        <v>80.72</v>
      </c>
      <c r="F4" s="24">
        <v>348.42</v>
      </c>
    </row>
    <row r="5">
      <c r="A5" s="20" t="s">
        <v>213</v>
      </c>
      <c r="B5" s="1">
        <v>1900.0</v>
      </c>
      <c r="C5" s="23">
        <v>60.55</v>
      </c>
      <c r="D5" s="23">
        <v>261.37</v>
      </c>
      <c r="E5" s="23">
        <v>60.54</v>
      </c>
      <c r="F5" s="23">
        <v>261.32</v>
      </c>
    </row>
    <row r="6">
      <c r="A6" s="19" t="s">
        <v>218</v>
      </c>
      <c r="B6" s="1">
        <v>1900.0</v>
      </c>
      <c r="C6" s="23">
        <v>34.98</v>
      </c>
      <c r="D6" s="23">
        <v>151.01</v>
      </c>
      <c r="E6" s="23">
        <v>34.98</v>
      </c>
      <c r="F6" s="23">
        <v>150.98</v>
      </c>
    </row>
    <row r="7">
      <c r="A7" s="19" t="s">
        <v>217</v>
      </c>
      <c r="B7" s="1">
        <v>1900.0</v>
      </c>
      <c r="C7" s="23">
        <v>40.37</v>
      </c>
      <c r="D7" s="23">
        <v>174.25</v>
      </c>
      <c r="E7" s="23">
        <v>40.36</v>
      </c>
      <c r="F7" s="23">
        <v>174.21</v>
      </c>
    </row>
    <row r="8">
      <c r="A8" s="25" t="s">
        <v>220</v>
      </c>
      <c r="B8" s="1">
        <v>1900.0</v>
      </c>
      <c r="C8" s="1">
        <v>37.94</v>
      </c>
      <c r="D8" s="1">
        <v>163.79</v>
      </c>
      <c r="E8" s="1">
        <v>56.85</v>
      </c>
      <c r="F8" s="1">
        <v>245.39</v>
      </c>
    </row>
    <row r="9">
      <c r="A9" s="25" t="s">
        <v>215</v>
      </c>
      <c r="B9" s="1">
        <v>1900.0</v>
      </c>
      <c r="C9" s="1">
        <v>34.98</v>
      </c>
      <c r="D9" s="1">
        <v>151.01</v>
      </c>
      <c r="E9" s="1">
        <v>69.96</v>
      </c>
      <c r="F9" s="1">
        <v>301.97</v>
      </c>
    </row>
    <row r="10">
      <c r="A10" s="20" t="s">
        <v>212</v>
      </c>
      <c r="B10" s="1">
        <v>1905.0</v>
      </c>
      <c r="C10" s="24">
        <v>46.33</v>
      </c>
      <c r="D10" s="24">
        <v>199.97</v>
      </c>
      <c r="E10" s="1">
        <v>46.27</v>
      </c>
      <c r="F10" s="1">
        <v>199.74</v>
      </c>
    </row>
    <row r="11">
      <c r="A11" s="20" t="s">
        <v>214</v>
      </c>
      <c r="B11" s="1">
        <v>1905.0</v>
      </c>
      <c r="C11" s="24">
        <v>54.27</v>
      </c>
      <c r="D11" s="24">
        <v>234.26</v>
      </c>
      <c r="E11" s="1">
        <v>54.21</v>
      </c>
      <c r="F11" s="1">
        <v>233.98</v>
      </c>
    </row>
    <row r="12">
      <c r="A12" s="19" t="s">
        <v>216</v>
      </c>
      <c r="B12" s="1">
        <v>1905.0</v>
      </c>
      <c r="C12" s="24">
        <v>79.42</v>
      </c>
      <c r="D12" s="24">
        <v>342.81</v>
      </c>
      <c r="E12" s="24">
        <v>79.33</v>
      </c>
      <c r="F12" s="1">
        <v>342.41</v>
      </c>
    </row>
    <row r="13">
      <c r="A13" s="20" t="s">
        <v>213</v>
      </c>
      <c r="B13" s="1">
        <v>1905.0</v>
      </c>
      <c r="C13" s="24">
        <v>59.56</v>
      </c>
      <c r="D13" s="24">
        <v>257.11</v>
      </c>
      <c r="E13" s="24">
        <v>59.49</v>
      </c>
      <c r="F13" s="1">
        <v>256.81</v>
      </c>
    </row>
    <row r="14">
      <c r="A14" s="19" t="s">
        <v>218</v>
      </c>
      <c r="B14" s="1">
        <v>1905.0</v>
      </c>
      <c r="C14" s="1">
        <v>34.41</v>
      </c>
      <c r="D14" s="1">
        <v>148.55</v>
      </c>
      <c r="E14" s="1">
        <v>34.37</v>
      </c>
      <c r="F14" s="1">
        <v>148.38</v>
      </c>
    </row>
    <row r="15">
      <c r="A15" s="19" t="s">
        <v>217</v>
      </c>
      <c r="B15" s="1">
        <v>1905.0</v>
      </c>
      <c r="C15" s="1">
        <v>39.71</v>
      </c>
      <c r="D15" s="1">
        <v>171.41</v>
      </c>
      <c r="E15" s="1">
        <v>39.66</v>
      </c>
      <c r="F15" s="1">
        <v>171.2</v>
      </c>
    </row>
    <row r="16">
      <c r="A16" s="25" t="s">
        <v>220</v>
      </c>
      <c r="B16" s="1">
        <v>1905.0</v>
      </c>
      <c r="C16" s="1">
        <v>37.94</v>
      </c>
      <c r="D16" s="1">
        <v>163.79</v>
      </c>
      <c r="E16" s="1">
        <v>56.85</v>
      </c>
      <c r="F16" s="1">
        <v>245.39</v>
      </c>
    </row>
    <row r="17">
      <c r="A17" s="1" t="s">
        <v>222</v>
      </c>
      <c r="B17" s="1">
        <v>1905.0</v>
      </c>
      <c r="C17" s="1">
        <v>28.46</v>
      </c>
      <c r="D17" s="1">
        <v>122.84</v>
      </c>
      <c r="E17" s="1">
        <v>56.85</v>
      </c>
      <c r="F17" s="1">
        <v>245.39</v>
      </c>
    </row>
    <row r="18">
      <c r="A18" s="25" t="s">
        <v>215</v>
      </c>
      <c r="B18" s="1">
        <v>1905.0</v>
      </c>
      <c r="C18" s="1">
        <v>34.41</v>
      </c>
      <c r="D18" s="1">
        <v>148.55</v>
      </c>
      <c r="E18" s="1">
        <v>68.75</v>
      </c>
      <c r="F18" s="1">
        <v>296.75</v>
      </c>
    </row>
    <row r="19">
      <c r="A19" s="20" t="s">
        <v>212</v>
      </c>
      <c r="B19" s="1">
        <v>1910.0</v>
      </c>
      <c r="C19" s="1">
        <v>45.57</v>
      </c>
      <c r="D19" s="1">
        <v>196.71</v>
      </c>
      <c r="E19" s="1">
        <v>45.47</v>
      </c>
      <c r="F19" s="1">
        <v>196.29</v>
      </c>
    </row>
    <row r="20">
      <c r="A20" s="20" t="s">
        <v>214</v>
      </c>
      <c r="B20" s="1">
        <v>1910.0</v>
      </c>
      <c r="C20" s="1">
        <v>53.39</v>
      </c>
      <c r="D20" s="1">
        <v>230.44</v>
      </c>
      <c r="E20" s="1">
        <v>53.27</v>
      </c>
      <c r="F20" s="1">
        <v>229.94</v>
      </c>
    </row>
    <row r="21">
      <c r="A21" s="19" t="s">
        <v>216</v>
      </c>
      <c r="B21" s="1">
        <v>1910.0</v>
      </c>
      <c r="C21" s="1">
        <v>78.12</v>
      </c>
      <c r="D21" s="1">
        <v>337.23</v>
      </c>
      <c r="E21" s="1">
        <v>77.96</v>
      </c>
      <c r="F21" s="1">
        <v>336.49</v>
      </c>
    </row>
    <row r="22">
      <c r="A22" s="20" t="s">
        <v>213</v>
      </c>
      <c r="B22" s="1">
        <v>1910.0</v>
      </c>
      <c r="C22" s="1">
        <v>58.59</v>
      </c>
      <c r="D22" s="1">
        <v>252.92</v>
      </c>
      <c r="E22" s="1">
        <v>58.47</v>
      </c>
      <c r="F22" s="1">
        <v>252.37</v>
      </c>
    </row>
    <row r="23">
      <c r="A23" s="19" t="s">
        <v>218</v>
      </c>
      <c r="B23" s="1">
        <v>1910.0</v>
      </c>
      <c r="C23" s="1">
        <v>33.85</v>
      </c>
      <c r="D23" s="1">
        <v>146.13</v>
      </c>
      <c r="E23" s="1">
        <v>33.78</v>
      </c>
      <c r="F23" s="1">
        <v>145.81</v>
      </c>
    </row>
    <row r="24">
      <c r="A24" s="19" t="s">
        <v>217</v>
      </c>
      <c r="B24" s="1">
        <v>1910.0</v>
      </c>
      <c r="C24" s="1">
        <v>39.06</v>
      </c>
      <c r="D24" s="1">
        <v>168.61</v>
      </c>
      <c r="E24" s="1">
        <v>38.98</v>
      </c>
      <c r="F24" s="1">
        <v>168.25</v>
      </c>
    </row>
    <row r="25">
      <c r="A25" s="25" t="s">
        <v>220</v>
      </c>
      <c r="B25" s="1">
        <v>1910.0</v>
      </c>
      <c r="C25" s="1">
        <v>37.33</v>
      </c>
      <c r="D25" s="1">
        <v>161.12</v>
      </c>
      <c r="E25" s="1">
        <v>55.87</v>
      </c>
      <c r="F25" s="1">
        <v>241.15</v>
      </c>
    </row>
    <row r="26">
      <c r="A26" s="1" t="s">
        <v>222</v>
      </c>
      <c r="B26" s="1">
        <v>1910.0</v>
      </c>
      <c r="C26" s="1">
        <v>27.99</v>
      </c>
      <c r="D26" s="1">
        <v>120.84</v>
      </c>
      <c r="E26" s="1">
        <v>55.87</v>
      </c>
      <c r="F26" s="1">
        <v>241.15</v>
      </c>
    </row>
    <row r="27">
      <c r="A27" s="25" t="s">
        <v>215</v>
      </c>
      <c r="B27" s="1">
        <v>1910.0</v>
      </c>
      <c r="C27" s="1">
        <v>33.85</v>
      </c>
      <c r="D27" s="1">
        <v>146.13</v>
      </c>
      <c r="E27" s="1">
        <v>67.56</v>
      </c>
      <c r="F27" s="1">
        <v>291.63</v>
      </c>
    </row>
    <row r="28">
      <c r="A28" s="20" t="s">
        <v>212</v>
      </c>
      <c r="B28" s="1">
        <v>1915.0</v>
      </c>
      <c r="C28" s="1">
        <v>44.83</v>
      </c>
      <c r="D28" s="1">
        <v>193.51</v>
      </c>
      <c r="E28" s="1">
        <v>44.69</v>
      </c>
      <c r="F28" s="1">
        <v>192.9</v>
      </c>
    </row>
    <row r="29">
      <c r="A29" s="20" t="s">
        <v>214</v>
      </c>
      <c r="B29" s="1">
        <v>1915.0</v>
      </c>
      <c r="C29" s="1">
        <v>52.52</v>
      </c>
      <c r="D29" s="1">
        <v>226.68</v>
      </c>
      <c r="E29" s="1">
        <v>52.35</v>
      </c>
      <c r="F29" s="1">
        <v>225.97</v>
      </c>
    </row>
    <row r="30">
      <c r="A30" s="19" t="s">
        <v>216</v>
      </c>
      <c r="B30" s="1">
        <v>1915.0</v>
      </c>
      <c r="C30" s="1">
        <v>76.85</v>
      </c>
      <c r="D30" s="1">
        <v>331.73</v>
      </c>
      <c r="E30" s="1">
        <v>76.61</v>
      </c>
      <c r="F30" s="1">
        <v>330.68</v>
      </c>
    </row>
    <row r="31">
      <c r="A31" s="20" t="s">
        <v>213</v>
      </c>
      <c r="B31" s="1">
        <v>1915.0</v>
      </c>
      <c r="C31" s="1">
        <v>57.64</v>
      </c>
      <c r="D31" s="1">
        <v>248.8</v>
      </c>
      <c r="E31" s="1">
        <v>57.46</v>
      </c>
      <c r="F31" s="1">
        <v>248.01</v>
      </c>
    </row>
    <row r="32">
      <c r="A32" s="19" t="s">
        <v>218</v>
      </c>
      <c r="B32" s="1">
        <v>1915.0</v>
      </c>
      <c r="C32" s="1">
        <v>33.3</v>
      </c>
      <c r="D32" s="1">
        <v>143.75</v>
      </c>
      <c r="E32" s="1">
        <v>33.2</v>
      </c>
      <c r="F32" s="1">
        <v>143.3</v>
      </c>
    </row>
    <row r="33">
      <c r="A33" s="19" t="s">
        <v>217</v>
      </c>
      <c r="B33" s="1">
        <v>1915.0</v>
      </c>
      <c r="C33" s="1">
        <v>38.43</v>
      </c>
      <c r="D33" s="1">
        <v>165.87</v>
      </c>
      <c r="E33" s="1">
        <v>38.3</v>
      </c>
      <c r="F33" s="1">
        <v>165.34</v>
      </c>
    </row>
    <row r="34">
      <c r="A34" s="25" t="s">
        <v>220</v>
      </c>
      <c r="B34" s="1">
        <v>1915.0</v>
      </c>
      <c r="C34" s="1">
        <v>36.72</v>
      </c>
      <c r="D34" s="1">
        <v>158.49</v>
      </c>
      <c r="E34" s="1">
        <v>54.9</v>
      </c>
      <c r="F34" s="1">
        <v>236.99</v>
      </c>
    </row>
    <row r="35">
      <c r="A35" s="1" t="s">
        <v>222</v>
      </c>
      <c r="B35" s="1">
        <v>1915.0</v>
      </c>
      <c r="C35" s="1">
        <v>27.54</v>
      </c>
      <c r="D35" s="1">
        <v>118.87</v>
      </c>
      <c r="E35" s="1">
        <v>54.9</v>
      </c>
      <c r="F35" s="1">
        <v>236.99</v>
      </c>
    </row>
    <row r="36">
      <c r="A36" s="25" t="s">
        <v>215</v>
      </c>
      <c r="B36" s="1">
        <v>1915.0</v>
      </c>
      <c r="C36" s="1">
        <v>33.3</v>
      </c>
      <c r="D36" s="1">
        <v>143.75</v>
      </c>
      <c r="E36" s="1">
        <v>66.39</v>
      </c>
      <c r="F36" s="1">
        <v>286.59</v>
      </c>
    </row>
    <row r="37">
      <c r="A37" s="20" t="s">
        <v>212</v>
      </c>
      <c r="B37" s="1">
        <v>1920.0</v>
      </c>
      <c r="C37" s="1">
        <v>44.1</v>
      </c>
      <c r="D37" s="1">
        <v>190.36</v>
      </c>
      <c r="E37" s="1">
        <v>43.92</v>
      </c>
      <c r="F37" s="1">
        <v>189.57</v>
      </c>
    </row>
    <row r="38">
      <c r="A38" s="20" t="s">
        <v>214</v>
      </c>
      <c r="B38" s="1">
        <v>1920.0</v>
      </c>
      <c r="C38" s="1">
        <v>51.66</v>
      </c>
      <c r="D38" s="1">
        <v>222.99</v>
      </c>
      <c r="E38" s="1">
        <v>51.45</v>
      </c>
      <c r="F38" s="1">
        <v>222.06</v>
      </c>
    </row>
    <row r="39">
      <c r="A39" s="19" t="s">
        <v>216</v>
      </c>
      <c r="B39" s="1">
        <v>1920.0</v>
      </c>
      <c r="C39" s="1">
        <v>75.6</v>
      </c>
      <c r="D39" s="1">
        <v>326.32</v>
      </c>
      <c r="E39" s="1">
        <v>75.29</v>
      </c>
      <c r="F39" s="1">
        <v>324.97</v>
      </c>
    </row>
    <row r="40">
      <c r="A40" s="20" t="s">
        <v>213</v>
      </c>
      <c r="B40" s="1">
        <v>1920.0</v>
      </c>
      <c r="C40" s="1">
        <v>56.7</v>
      </c>
      <c r="D40" s="1">
        <v>244.74</v>
      </c>
      <c r="E40" s="1">
        <v>56.46</v>
      </c>
      <c r="F40" s="1">
        <v>243.73</v>
      </c>
    </row>
    <row r="41">
      <c r="A41" s="19" t="s">
        <v>218</v>
      </c>
      <c r="B41" s="1">
        <v>1920.0</v>
      </c>
      <c r="C41" s="1">
        <v>32.76</v>
      </c>
      <c r="D41" s="1">
        <v>141.41</v>
      </c>
      <c r="E41" s="1">
        <v>32.62</v>
      </c>
      <c r="F41" s="1">
        <v>140.82</v>
      </c>
    </row>
    <row r="42">
      <c r="A42" s="19" t="s">
        <v>217</v>
      </c>
      <c r="B42" s="1">
        <v>1920.0</v>
      </c>
      <c r="C42" s="1">
        <v>37.8</v>
      </c>
      <c r="D42" s="1">
        <v>163.16</v>
      </c>
      <c r="E42" s="1">
        <v>37.64</v>
      </c>
      <c r="F42" s="1">
        <v>162.49</v>
      </c>
    </row>
    <row r="43">
      <c r="A43" s="25" t="s">
        <v>220</v>
      </c>
      <c r="B43" s="1">
        <v>1920.0</v>
      </c>
      <c r="C43" s="1">
        <v>36.12</v>
      </c>
      <c r="D43" s="1">
        <v>155.91</v>
      </c>
      <c r="E43" s="1">
        <v>53.95</v>
      </c>
      <c r="F43" s="1">
        <v>232.9</v>
      </c>
    </row>
    <row r="44">
      <c r="A44" s="1" t="s">
        <v>222</v>
      </c>
      <c r="B44" s="1">
        <v>1920.0</v>
      </c>
      <c r="C44" s="1">
        <v>27.09</v>
      </c>
      <c r="D44" s="1">
        <v>116.93</v>
      </c>
      <c r="E44" s="1">
        <v>53.95</v>
      </c>
      <c r="F44" s="1">
        <v>232.9</v>
      </c>
    </row>
    <row r="45">
      <c r="A45" s="25" t="s">
        <v>215</v>
      </c>
      <c r="B45" s="1">
        <v>1920.0</v>
      </c>
      <c r="C45" s="1">
        <v>32.76</v>
      </c>
      <c r="D45" s="1">
        <v>141.41</v>
      </c>
      <c r="E45" s="1">
        <v>65.25</v>
      </c>
      <c r="F45" s="1">
        <v>281.64</v>
      </c>
    </row>
    <row r="46">
      <c r="A46" s="20" t="s">
        <v>212</v>
      </c>
      <c r="B46" s="1">
        <v>1925.0</v>
      </c>
      <c r="C46" s="1">
        <v>43.38</v>
      </c>
      <c r="D46" s="1">
        <v>187.25</v>
      </c>
      <c r="E46" s="1">
        <v>43.16</v>
      </c>
      <c r="F46" s="1">
        <v>186.29</v>
      </c>
    </row>
    <row r="47">
      <c r="A47" s="20" t="s">
        <v>214</v>
      </c>
      <c r="B47" s="1">
        <v>1925.0</v>
      </c>
      <c r="C47" s="1">
        <v>50.82</v>
      </c>
      <c r="D47" s="1">
        <v>219.35</v>
      </c>
      <c r="E47" s="1">
        <v>50.56</v>
      </c>
      <c r="F47" s="1">
        <v>218.23</v>
      </c>
    </row>
    <row r="48">
      <c r="A48" s="19" t="s">
        <v>216</v>
      </c>
      <c r="B48" s="1">
        <v>1925.0</v>
      </c>
      <c r="C48" s="1">
        <v>74.37</v>
      </c>
      <c r="D48" s="1">
        <v>321.0</v>
      </c>
      <c r="E48" s="1">
        <v>73.98</v>
      </c>
      <c r="F48" s="1">
        <v>319.36</v>
      </c>
    </row>
    <row r="49">
      <c r="A49" s="20" t="s">
        <v>213</v>
      </c>
      <c r="B49" s="1">
        <v>1925.0</v>
      </c>
      <c r="C49" s="1">
        <v>55.77</v>
      </c>
      <c r="D49" s="1">
        <v>240.75</v>
      </c>
      <c r="E49" s="1">
        <v>55.49</v>
      </c>
      <c r="F49" s="1">
        <v>239.52</v>
      </c>
    </row>
    <row r="50">
      <c r="A50" s="19" t="s">
        <v>218</v>
      </c>
      <c r="B50" s="1">
        <v>1925.0</v>
      </c>
      <c r="C50" s="1">
        <v>32.23</v>
      </c>
      <c r="D50" s="1">
        <v>139.1</v>
      </c>
      <c r="E50" s="1">
        <v>32.06</v>
      </c>
      <c r="F50" s="1">
        <v>138.39</v>
      </c>
    </row>
    <row r="51">
      <c r="A51" s="19" t="s">
        <v>217</v>
      </c>
      <c r="B51" s="1">
        <v>1925.0</v>
      </c>
      <c r="C51" s="1">
        <v>37.18</v>
      </c>
      <c r="D51" s="1">
        <v>160.5</v>
      </c>
      <c r="E51" s="1">
        <v>36.99</v>
      </c>
      <c r="F51" s="1">
        <v>159.68</v>
      </c>
    </row>
    <row r="52">
      <c r="A52" s="25" t="s">
        <v>220</v>
      </c>
      <c r="B52" s="1">
        <v>1925.0</v>
      </c>
      <c r="C52" s="1">
        <v>35.53</v>
      </c>
      <c r="D52" s="1">
        <v>153.37</v>
      </c>
      <c r="E52" s="1">
        <v>53.02</v>
      </c>
      <c r="F52" s="1">
        <v>228.87</v>
      </c>
    </row>
    <row r="53">
      <c r="A53" s="1" t="s">
        <v>222</v>
      </c>
      <c r="B53" s="1">
        <v>1925.0</v>
      </c>
      <c r="C53" s="1">
        <v>26.65</v>
      </c>
      <c r="D53" s="1">
        <v>115.03</v>
      </c>
      <c r="E53" s="1">
        <v>53.02</v>
      </c>
      <c r="F53" s="1">
        <v>228.87</v>
      </c>
    </row>
    <row r="54">
      <c r="A54" s="25" t="s">
        <v>215</v>
      </c>
      <c r="B54" s="1">
        <v>1925.0</v>
      </c>
      <c r="C54" s="1">
        <v>32.23</v>
      </c>
      <c r="D54" s="1">
        <v>139.1</v>
      </c>
      <c r="E54" s="1">
        <v>64.12</v>
      </c>
      <c r="F54" s="1">
        <v>276.77</v>
      </c>
    </row>
    <row r="55">
      <c r="A55" s="20" t="s">
        <v>212</v>
      </c>
      <c r="B55" s="1">
        <v>1930.0</v>
      </c>
      <c r="C55" s="1">
        <v>42.67</v>
      </c>
      <c r="D55" s="1">
        <v>184.2</v>
      </c>
      <c r="E55" s="1">
        <v>42.41</v>
      </c>
      <c r="F55" s="1">
        <v>183.07</v>
      </c>
    </row>
    <row r="56">
      <c r="A56" s="20" t="s">
        <v>214</v>
      </c>
      <c r="B56" s="1">
        <v>1930.0</v>
      </c>
      <c r="C56" s="1">
        <v>49.99</v>
      </c>
      <c r="D56" s="1">
        <v>215.78</v>
      </c>
      <c r="E56" s="1">
        <v>49.68</v>
      </c>
      <c r="F56" s="1">
        <v>214.46</v>
      </c>
    </row>
    <row r="57">
      <c r="A57" s="19" t="s">
        <v>216</v>
      </c>
      <c r="B57" s="1">
        <v>1930.0</v>
      </c>
      <c r="C57" s="1">
        <v>73.15</v>
      </c>
      <c r="D57" s="1">
        <v>315.77</v>
      </c>
      <c r="E57" s="1">
        <v>72.71</v>
      </c>
      <c r="F57" s="1">
        <v>313.84</v>
      </c>
    </row>
    <row r="58">
      <c r="A58" s="20" t="s">
        <v>213</v>
      </c>
      <c r="B58" s="1">
        <v>1930.0</v>
      </c>
      <c r="C58" s="1">
        <v>54.87</v>
      </c>
      <c r="D58" s="1">
        <v>236.83</v>
      </c>
      <c r="E58" s="1">
        <v>54.53</v>
      </c>
      <c r="F58" s="1">
        <v>235.38</v>
      </c>
    </row>
    <row r="59">
      <c r="A59" s="19" t="s">
        <v>218</v>
      </c>
      <c r="B59" s="1">
        <v>1930.0</v>
      </c>
      <c r="C59" s="1">
        <v>31.7</v>
      </c>
      <c r="D59" s="1">
        <v>136.83</v>
      </c>
      <c r="E59" s="1">
        <v>31.51</v>
      </c>
      <c r="F59" s="1">
        <v>136.0</v>
      </c>
    </row>
    <row r="60">
      <c r="A60" s="19" t="s">
        <v>217</v>
      </c>
      <c r="B60" s="1">
        <v>1930.0</v>
      </c>
      <c r="C60" s="1">
        <v>36.58</v>
      </c>
      <c r="D60" s="1">
        <v>157.88</v>
      </c>
      <c r="E60" s="1">
        <v>36.35</v>
      </c>
      <c r="F60" s="1">
        <v>156.92</v>
      </c>
    </row>
    <row r="61">
      <c r="A61" s="25" t="s">
        <v>220</v>
      </c>
      <c r="B61" s="1">
        <v>1930.0</v>
      </c>
      <c r="C61" s="1">
        <v>34.95</v>
      </c>
      <c r="D61" s="1">
        <v>150.87</v>
      </c>
      <c r="E61" s="1">
        <v>52.11</v>
      </c>
      <c r="F61" s="1">
        <v>224.92</v>
      </c>
    </row>
    <row r="62">
      <c r="A62" s="1" t="s">
        <v>222</v>
      </c>
      <c r="B62" s="1">
        <v>1930.0</v>
      </c>
      <c r="C62" s="1">
        <v>26.21</v>
      </c>
      <c r="D62" s="1">
        <v>113.15</v>
      </c>
      <c r="E62" s="1">
        <v>52.11</v>
      </c>
      <c r="F62" s="1">
        <v>224.92</v>
      </c>
    </row>
    <row r="63">
      <c r="A63" s="25" t="s">
        <v>215</v>
      </c>
      <c r="B63" s="1">
        <v>1930.0</v>
      </c>
      <c r="C63" s="1">
        <v>31.7</v>
      </c>
      <c r="D63" s="1">
        <v>136.83</v>
      </c>
      <c r="E63" s="1">
        <v>63.01</v>
      </c>
      <c r="F63" s="1">
        <v>271.99</v>
      </c>
    </row>
    <row r="64">
      <c r="A64" s="20" t="s">
        <v>212</v>
      </c>
      <c r="B64" s="1">
        <v>1935.0</v>
      </c>
      <c r="C64" s="1">
        <v>41.98</v>
      </c>
      <c r="D64" s="1">
        <v>181.19</v>
      </c>
      <c r="E64" s="1">
        <v>41.68</v>
      </c>
      <c r="F64" s="1">
        <v>179.91</v>
      </c>
    </row>
    <row r="65">
      <c r="A65" s="20" t="s">
        <v>214</v>
      </c>
      <c r="B65" s="1">
        <v>1935.0</v>
      </c>
      <c r="C65" s="1">
        <v>49.17</v>
      </c>
      <c r="D65" s="1">
        <v>212.26</v>
      </c>
      <c r="E65" s="1">
        <v>48.82</v>
      </c>
      <c r="F65" s="1">
        <v>210.75</v>
      </c>
    </row>
    <row r="66">
      <c r="A66" s="19" t="s">
        <v>216</v>
      </c>
      <c r="B66" s="1">
        <v>1935.0</v>
      </c>
      <c r="C66" s="1">
        <v>71.96</v>
      </c>
      <c r="D66" s="1">
        <v>310.62</v>
      </c>
      <c r="E66" s="1">
        <v>71.45</v>
      </c>
      <c r="F66" s="1">
        <v>308.41</v>
      </c>
    </row>
    <row r="67">
      <c r="A67" s="20" t="s">
        <v>213</v>
      </c>
      <c r="B67" s="1">
        <v>1935.0</v>
      </c>
      <c r="C67" s="1">
        <v>53.97</v>
      </c>
      <c r="D67" s="1">
        <v>232.96</v>
      </c>
      <c r="E67" s="1">
        <v>53.59</v>
      </c>
      <c r="F67" s="1">
        <v>231.31</v>
      </c>
    </row>
    <row r="68">
      <c r="A68" s="19" t="s">
        <v>218</v>
      </c>
      <c r="B68" s="1">
        <v>1935.0</v>
      </c>
      <c r="C68" s="1">
        <v>31.18</v>
      </c>
      <c r="D68" s="1">
        <v>134.6</v>
      </c>
      <c r="E68" s="1">
        <v>30.96</v>
      </c>
      <c r="F68" s="1">
        <v>133.65</v>
      </c>
    </row>
    <row r="69">
      <c r="A69" s="19" t="s">
        <v>217</v>
      </c>
      <c r="B69" s="1">
        <v>1935.0</v>
      </c>
      <c r="C69" s="1">
        <v>35.98</v>
      </c>
      <c r="D69" s="1">
        <v>155.31</v>
      </c>
      <c r="E69" s="1">
        <v>35.73</v>
      </c>
      <c r="F69" s="1">
        <v>154.21</v>
      </c>
    </row>
    <row r="70">
      <c r="A70" s="25" t="s">
        <v>220</v>
      </c>
      <c r="B70" s="1">
        <v>1935.0</v>
      </c>
      <c r="C70" s="1">
        <v>34.38</v>
      </c>
      <c r="D70" s="1">
        <v>148.41</v>
      </c>
      <c r="E70" s="1">
        <v>51.21</v>
      </c>
      <c r="F70" s="1">
        <v>221.03</v>
      </c>
    </row>
    <row r="71">
      <c r="A71" s="1" t="s">
        <v>222</v>
      </c>
      <c r="B71" s="1">
        <v>1935.0</v>
      </c>
      <c r="C71" s="1">
        <v>25.79</v>
      </c>
      <c r="D71" s="1">
        <v>111.31</v>
      </c>
      <c r="E71" s="1">
        <v>51.21</v>
      </c>
      <c r="F71" s="1">
        <v>221.03</v>
      </c>
    </row>
    <row r="72">
      <c r="A72" s="25" t="s">
        <v>215</v>
      </c>
      <c r="B72" s="1">
        <v>1935.0</v>
      </c>
      <c r="C72" s="1">
        <v>31.18</v>
      </c>
      <c r="D72" s="1">
        <v>134.6</v>
      </c>
      <c r="E72" s="1">
        <v>61.92</v>
      </c>
      <c r="F72" s="1">
        <v>267.29</v>
      </c>
    </row>
    <row r="73">
      <c r="A73" s="20" t="s">
        <v>212</v>
      </c>
      <c r="B73" s="1">
        <v>1940.0</v>
      </c>
      <c r="C73" s="1">
        <v>41.29</v>
      </c>
      <c r="D73" s="1">
        <v>178.24</v>
      </c>
      <c r="E73" s="1">
        <v>40.96</v>
      </c>
      <c r="F73" s="1">
        <v>176.8</v>
      </c>
    </row>
    <row r="74">
      <c r="A74" s="20" t="s">
        <v>214</v>
      </c>
      <c r="B74" s="1">
        <v>1940.0</v>
      </c>
      <c r="C74" s="1">
        <v>48.37</v>
      </c>
      <c r="D74" s="1">
        <v>208.79</v>
      </c>
      <c r="E74" s="1">
        <v>47.98</v>
      </c>
      <c r="F74" s="1">
        <v>207.11</v>
      </c>
    </row>
    <row r="75">
      <c r="A75" s="19" t="s">
        <v>216</v>
      </c>
      <c r="B75" s="1">
        <v>1940.0</v>
      </c>
      <c r="C75" s="1">
        <v>70.79</v>
      </c>
      <c r="D75" s="1">
        <v>305.55</v>
      </c>
      <c r="E75" s="1">
        <v>70.22</v>
      </c>
      <c r="F75" s="1">
        <v>303.08</v>
      </c>
    </row>
    <row r="76">
      <c r="A76" s="20" t="s">
        <v>213</v>
      </c>
      <c r="B76" s="1">
        <v>1940.0</v>
      </c>
      <c r="C76" s="1">
        <v>53.09</v>
      </c>
      <c r="D76" s="1">
        <v>229.17</v>
      </c>
      <c r="E76" s="1">
        <v>52.66</v>
      </c>
      <c r="F76" s="1">
        <v>227.31</v>
      </c>
    </row>
    <row r="77">
      <c r="A77" s="19" t="s">
        <v>218</v>
      </c>
      <c r="B77" s="1">
        <v>1940.0</v>
      </c>
      <c r="C77" s="1">
        <v>30.67</v>
      </c>
      <c r="D77" s="1">
        <v>132.41</v>
      </c>
      <c r="E77" s="1">
        <v>30.43</v>
      </c>
      <c r="F77" s="1">
        <v>131.34</v>
      </c>
    </row>
    <row r="78">
      <c r="A78" s="19" t="s">
        <v>217</v>
      </c>
      <c r="B78" s="1">
        <v>1940.0</v>
      </c>
      <c r="C78" s="1">
        <v>35.39</v>
      </c>
      <c r="D78" s="1">
        <v>152.78</v>
      </c>
      <c r="E78" s="1">
        <v>35.11</v>
      </c>
      <c r="F78" s="1">
        <v>151.54</v>
      </c>
    </row>
    <row r="79">
      <c r="A79" s="25" t="s">
        <v>220</v>
      </c>
      <c r="B79" s="1">
        <v>1940.0</v>
      </c>
      <c r="C79" s="1">
        <v>33.82</v>
      </c>
      <c r="D79" s="1">
        <v>145.99</v>
      </c>
      <c r="E79" s="1">
        <v>50.32</v>
      </c>
      <c r="F79" s="1">
        <v>217.21</v>
      </c>
    </row>
    <row r="80">
      <c r="A80" s="1" t="s">
        <v>222</v>
      </c>
      <c r="B80" s="1">
        <v>1940.0</v>
      </c>
      <c r="C80" s="1">
        <v>25.37</v>
      </c>
      <c r="D80" s="1">
        <v>109.49</v>
      </c>
      <c r="E80" s="1">
        <v>50.32</v>
      </c>
      <c r="F80" s="1">
        <v>217.21</v>
      </c>
    </row>
    <row r="81">
      <c r="A81" s="25" t="s">
        <v>215</v>
      </c>
      <c r="B81" s="1">
        <v>1940.0</v>
      </c>
      <c r="C81" s="1">
        <v>30.67</v>
      </c>
      <c r="D81" s="1">
        <v>132.41</v>
      </c>
      <c r="E81" s="1">
        <v>60.85</v>
      </c>
      <c r="F81" s="1">
        <v>262.67</v>
      </c>
    </row>
    <row r="82">
      <c r="A82" s="20" t="s">
        <v>212</v>
      </c>
      <c r="B82" s="1">
        <v>1945.0</v>
      </c>
      <c r="C82" s="1">
        <v>40.62</v>
      </c>
      <c r="D82" s="1">
        <v>175.33</v>
      </c>
      <c r="E82" s="1">
        <v>40.25</v>
      </c>
      <c r="F82" s="1">
        <v>173.74</v>
      </c>
    </row>
    <row r="83">
      <c r="A83" s="20" t="s">
        <v>214</v>
      </c>
      <c r="B83" s="1">
        <v>1945.0</v>
      </c>
      <c r="C83" s="1">
        <v>47.58</v>
      </c>
      <c r="D83" s="1">
        <v>205.39</v>
      </c>
      <c r="E83" s="1">
        <v>47.15</v>
      </c>
      <c r="F83" s="1">
        <v>203.53</v>
      </c>
    </row>
    <row r="84">
      <c r="A84" s="19" t="s">
        <v>216</v>
      </c>
      <c r="B84" s="1">
        <v>1945.0</v>
      </c>
      <c r="C84" s="1">
        <v>69.63</v>
      </c>
      <c r="D84" s="1">
        <v>300.57</v>
      </c>
      <c r="E84" s="1">
        <v>69.0</v>
      </c>
      <c r="F84" s="1">
        <v>297.85</v>
      </c>
    </row>
    <row r="85">
      <c r="A85" s="20" t="s">
        <v>213</v>
      </c>
      <c r="B85" s="1">
        <v>1945.0</v>
      </c>
      <c r="C85" s="1">
        <v>52.22</v>
      </c>
      <c r="D85" s="1">
        <v>225.43</v>
      </c>
      <c r="E85" s="1">
        <v>51.75</v>
      </c>
      <c r="F85" s="1">
        <v>223.38</v>
      </c>
    </row>
    <row r="86">
      <c r="A86" s="19" t="s">
        <v>218</v>
      </c>
      <c r="B86" s="1">
        <v>1945.0</v>
      </c>
      <c r="C86" s="1">
        <v>30.17</v>
      </c>
      <c r="D86" s="1">
        <v>130.25</v>
      </c>
      <c r="E86" s="1">
        <v>29.9</v>
      </c>
      <c r="F86" s="1">
        <v>129.07</v>
      </c>
    </row>
    <row r="87">
      <c r="A87" s="19" t="s">
        <v>217</v>
      </c>
      <c r="B87" s="1">
        <v>1945.0</v>
      </c>
      <c r="C87" s="1">
        <v>34.82</v>
      </c>
      <c r="D87" s="1">
        <v>150.28</v>
      </c>
      <c r="E87" s="1">
        <v>34.5</v>
      </c>
      <c r="F87" s="1">
        <v>148.92</v>
      </c>
    </row>
    <row r="88">
      <c r="A88" s="25" t="s">
        <v>220</v>
      </c>
      <c r="B88" s="1">
        <v>1945.0</v>
      </c>
      <c r="C88" s="1">
        <v>33.27</v>
      </c>
      <c r="D88" s="1">
        <v>143.61</v>
      </c>
      <c r="E88" s="1">
        <v>49.45</v>
      </c>
      <c r="F88" s="1">
        <v>213.46</v>
      </c>
    </row>
    <row r="89">
      <c r="A89" s="1" t="s">
        <v>222</v>
      </c>
      <c r="B89" s="1">
        <v>1945.0</v>
      </c>
      <c r="C89" s="1">
        <v>24.95</v>
      </c>
      <c r="D89" s="1">
        <v>107.7</v>
      </c>
      <c r="E89" s="1">
        <v>49.45</v>
      </c>
      <c r="F89" s="1">
        <v>213.46</v>
      </c>
    </row>
    <row r="90">
      <c r="A90" s="25" t="s">
        <v>215</v>
      </c>
      <c r="B90" s="1">
        <v>1945.0</v>
      </c>
      <c r="C90" s="1">
        <v>30.17</v>
      </c>
      <c r="D90" s="1">
        <v>130.25</v>
      </c>
      <c r="E90" s="1">
        <v>59.8</v>
      </c>
      <c r="F90" s="1">
        <v>258.13</v>
      </c>
    </row>
    <row r="91">
      <c r="A91" s="19" t="s">
        <v>224</v>
      </c>
      <c r="B91" s="1">
        <v>1945.0</v>
      </c>
      <c r="C91" s="1">
        <v>29.68</v>
      </c>
      <c r="D91" s="1">
        <v>128.12</v>
      </c>
      <c r="E91" s="1">
        <v>29.68</v>
      </c>
      <c r="F91" s="1">
        <v>128.12</v>
      </c>
    </row>
    <row r="92">
      <c r="A92" s="20" t="s">
        <v>212</v>
      </c>
      <c r="B92" s="1">
        <v>1950.0</v>
      </c>
      <c r="C92" s="1">
        <v>39.96</v>
      </c>
      <c r="D92" s="1">
        <v>172.47</v>
      </c>
      <c r="E92" s="1">
        <v>39.56</v>
      </c>
      <c r="F92" s="1">
        <v>170.74</v>
      </c>
    </row>
    <row r="93">
      <c r="A93" s="20" t="s">
        <v>214</v>
      </c>
      <c r="B93" s="1">
        <v>1950.0</v>
      </c>
      <c r="C93" s="1">
        <v>46.81</v>
      </c>
      <c r="D93" s="1">
        <v>202.04</v>
      </c>
      <c r="E93" s="1">
        <v>46.34</v>
      </c>
      <c r="F93" s="1">
        <v>200.01</v>
      </c>
    </row>
    <row r="94">
      <c r="A94" s="19" t="s">
        <v>216</v>
      </c>
      <c r="B94" s="1">
        <v>1950.0</v>
      </c>
      <c r="C94" s="1">
        <v>68.5</v>
      </c>
      <c r="D94" s="1">
        <v>295.67</v>
      </c>
      <c r="E94" s="1">
        <v>67.81</v>
      </c>
      <c r="F94" s="1">
        <v>292.7</v>
      </c>
    </row>
    <row r="95">
      <c r="A95" s="20" t="s">
        <v>213</v>
      </c>
      <c r="B95" s="1">
        <v>1950.0</v>
      </c>
      <c r="C95" s="1">
        <v>51.37</v>
      </c>
      <c r="D95" s="1">
        <v>221.75</v>
      </c>
      <c r="E95" s="1">
        <v>50.86</v>
      </c>
      <c r="F95" s="1">
        <v>219.52</v>
      </c>
    </row>
    <row r="96">
      <c r="A96" s="19" t="s">
        <v>218</v>
      </c>
      <c r="B96" s="1">
        <v>1950.0</v>
      </c>
      <c r="C96" s="1">
        <v>29.68</v>
      </c>
      <c r="D96" s="1">
        <v>128.12</v>
      </c>
      <c r="E96" s="1">
        <v>29.38</v>
      </c>
      <c r="F96" s="1">
        <v>126.84</v>
      </c>
    </row>
    <row r="97">
      <c r="A97" s="19" t="s">
        <v>217</v>
      </c>
      <c r="B97" s="1">
        <v>1950.0</v>
      </c>
      <c r="C97" s="1">
        <v>34.25</v>
      </c>
      <c r="D97" s="1">
        <v>147.83</v>
      </c>
      <c r="E97" s="1">
        <v>33.9</v>
      </c>
      <c r="F97" s="1">
        <v>146.35</v>
      </c>
    </row>
    <row r="98">
      <c r="A98" s="25" t="s">
        <v>220</v>
      </c>
      <c r="B98" s="1">
        <v>1950.0</v>
      </c>
      <c r="C98" s="1">
        <v>32.73</v>
      </c>
      <c r="D98" s="1">
        <v>141.26</v>
      </c>
      <c r="E98" s="1">
        <v>48.6</v>
      </c>
      <c r="F98" s="1">
        <v>209.77</v>
      </c>
    </row>
    <row r="99">
      <c r="A99" s="1" t="s">
        <v>222</v>
      </c>
      <c r="B99" s="1">
        <v>1950.0</v>
      </c>
      <c r="C99" s="1">
        <v>24.54</v>
      </c>
      <c r="D99" s="1">
        <v>105.95</v>
      </c>
      <c r="E99" s="1">
        <v>48.6</v>
      </c>
      <c r="F99" s="1">
        <v>209.77</v>
      </c>
    </row>
    <row r="100">
      <c r="A100" s="25" t="s">
        <v>215</v>
      </c>
      <c r="B100" s="1">
        <v>1950.0</v>
      </c>
      <c r="C100" s="1">
        <v>29.68</v>
      </c>
      <c r="D100" s="1">
        <v>128.12</v>
      </c>
      <c r="E100" s="1">
        <v>58.77</v>
      </c>
      <c r="F100" s="1">
        <v>253.67</v>
      </c>
    </row>
    <row r="101">
      <c r="A101" s="19" t="s">
        <v>224</v>
      </c>
      <c r="B101" s="1">
        <v>1950.0</v>
      </c>
      <c r="C101" s="1">
        <v>29.68</v>
      </c>
      <c r="D101" s="1">
        <v>128.12</v>
      </c>
      <c r="E101" s="1">
        <v>29.68</v>
      </c>
      <c r="F101" s="1">
        <v>128.12</v>
      </c>
    </row>
    <row r="102">
      <c r="A102" s="20" t="s">
        <v>212</v>
      </c>
      <c r="B102" s="1">
        <v>1955.0</v>
      </c>
      <c r="C102" s="1">
        <v>39.3</v>
      </c>
      <c r="D102" s="1">
        <v>169.66</v>
      </c>
      <c r="E102" s="1">
        <v>38.87</v>
      </c>
      <c r="F102" s="1">
        <v>167.79</v>
      </c>
    </row>
    <row r="103">
      <c r="A103" s="20" t="s">
        <v>214</v>
      </c>
      <c r="B103" s="1">
        <v>1955.0</v>
      </c>
      <c r="C103" s="1">
        <v>46.04</v>
      </c>
      <c r="D103" s="1">
        <v>198.74</v>
      </c>
      <c r="E103" s="1">
        <v>45.54</v>
      </c>
      <c r="F103" s="1">
        <v>196.55</v>
      </c>
    </row>
    <row r="104">
      <c r="A104" s="19" t="s">
        <v>216</v>
      </c>
      <c r="B104" s="1">
        <v>1955.0</v>
      </c>
      <c r="C104" s="1">
        <v>67.38</v>
      </c>
      <c r="D104" s="1">
        <v>290.84</v>
      </c>
      <c r="E104" s="1">
        <v>66.64</v>
      </c>
      <c r="F104" s="1">
        <v>287.64</v>
      </c>
    </row>
    <row r="105">
      <c r="A105" s="20" t="s">
        <v>213</v>
      </c>
      <c r="B105" s="1">
        <v>1955.0</v>
      </c>
      <c r="C105" s="1">
        <v>50.53</v>
      </c>
      <c r="D105" s="1">
        <v>218.13</v>
      </c>
      <c r="E105" s="1">
        <v>49.98</v>
      </c>
      <c r="F105" s="1">
        <v>215.73</v>
      </c>
    </row>
    <row r="106">
      <c r="A106" s="27" t="s">
        <v>218</v>
      </c>
      <c r="B106" s="1">
        <v>1955.0</v>
      </c>
      <c r="C106" s="1">
        <v>29.2</v>
      </c>
      <c r="D106" s="1">
        <v>126.03</v>
      </c>
      <c r="E106" s="1">
        <v>28.88</v>
      </c>
      <c r="F106" s="1">
        <v>124.64</v>
      </c>
    </row>
    <row r="107">
      <c r="A107" s="19" t="s">
        <v>217</v>
      </c>
      <c r="B107" s="1">
        <v>1955.0</v>
      </c>
      <c r="C107" s="1">
        <v>33.69</v>
      </c>
      <c r="D107" s="1">
        <v>145.42</v>
      </c>
      <c r="E107" s="1">
        <v>33.32</v>
      </c>
      <c r="F107" s="1">
        <v>143.82</v>
      </c>
    </row>
    <row r="108">
      <c r="A108" s="28" t="s">
        <v>220</v>
      </c>
      <c r="B108" s="1">
        <v>1955.0</v>
      </c>
      <c r="C108" s="1">
        <v>32.19</v>
      </c>
      <c r="D108" s="1">
        <v>138.96</v>
      </c>
      <c r="E108" s="1">
        <v>47.76</v>
      </c>
      <c r="F108" s="1">
        <v>206.14</v>
      </c>
    </row>
    <row r="109">
      <c r="A109" s="29" t="s">
        <v>222</v>
      </c>
      <c r="B109" s="1">
        <v>1955.0</v>
      </c>
      <c r="C109" s="1">
        <v>24.14</v>
      </c>
      <c r="D109" s="1">
        <v>104.22</v>
      </c>
      <c r="E109" s="1">
        <v>47.76</v>
      </c>
      <c r="F109" s="1">
        <v>206.14</v>
      </c>
    </row>
    <row r="110">
      <c r="A110" s="30" t="s">
        <v>215</v>
      </c>
      <c r="B110" s="1">
        <v>1955.0</v>
      </c>
      <c r="C110" s="1">
        <v>29.2</v>
      </c>
      <c r="D110" s="1">
        <v>126.03</v>
      </c>
      <c r="E110" s="1">
        <v>57.75</v>
      </c>
      <c r="F110" s="1">
        <v>249.29</v>
      </c>
    </row>
    <row r="111">
      <c r="A111" s="27" t="s">
        <v>224</v>
      </c>
      <c r="B111" s="1">
        <v>1955.0</v>
      </c>
      <c r="C111" s="1">
        <v>29.2</v>
      </c>
      <c r="D111" s="1">
        <v>126.03</v>
      </c>
      <c r="E111" s="1">
        <v>29.2</v>
      </c>
      <c r="F111" s="1">
        <v>126.03</v>
      </c>
    </row>
    <row r="112">
      <c r="A112" s="20" t="s">
        <v>212</v>
      </c>
      <c r="B112" s="1">
        <v>1960.0</v>
      </c>
      <c r="C112" s="1">
        <v>38.66</v>
      </c>
      <c r="D112" s="1">
        <v>166.89</v>
      </c>
      <c r="E112" s="1">
        <v>38.2</v>
      </c>
      <c r="F112" s="1">
        <v>164.89</v>
      </c>
    </row>
    <row r="113">
      <c r="A113" s="20" t="s">
        <v>214</v>
      </c>
      <c r="B113" s="1">
        <v>1960.0</v>
      </c>
      <c r="C113" s="1">
        <v>45.29</v>
      </c>
      <c r="D113" s="1">
        <v>195.5</v>
      </c>
      <c r="E113" s="1">
        <v>44.75</v>
      </c>
      <c r="F113" s="1">
        <v>193.16</v>
      </c>
    </row>
    <row r="114">
      <c r="A114" s="19" t="s">
        <v>216</v>
      </c>
      <c r="B114" s="1">
        <v>1960.0</v>
      </c>
      <c r="C114" s="1">
        <v>66.28</v>
      </c>
      <c r="D114" s="1">
        <v>286.09</v>
      </c>
      <c r="E114" s="1">
        <v>65.49</v>
      </c>
      <c r="F114" s="1">
        <v>282.67</v>
      </c>
    </row>
    <row r="115">
      <c r="A115" s="20" t="s">
        <v>213</v>
      </c>
      <c r="B115" s="1">
        <v>1960.0</v>
      </c>
      <c r="C115" s="1">
        <v>49.71</v>
      </c>
      <c r="D115" s="1">
        <v>214.57</v>
      </c>
      <c r="E115" s="1">
        <v>49.11</v>
      </c>
      <c r="F115" s="1">
        <v>212.0</v>
      </c>
    </row>
    <row r="116">
      <c r="A116" s="27" t="s">
        <v>218</v>
      </c>
      <c r="B116" s="1">
        <v>1960.0</v>
      </c>
      <c r="C116" s="1">
        <v>28.72</v>
      </c>
      <c r="D116" s="1">
        <v>123.97</v>
      </c>
      <c r="E116" s="1">
        <v>28.38</v>
      </c>
      <c r="F116" s="1">
        <v>122.49</v>
      </c>
    </row>
    <row r="117">
      <c r="A117" s="19" t="s">
        <v>217</v>
      </c>
      <c r="B117" s="1">
        <v>1960.0</v>
      </c>
      <c r="C117" s="1">
        <v>33.14</v>
      </c>
      <c r="D117" s="1">
        <v>143.05</v>
      </c>
      <c r="E117" s="1">
        <v>32.74</v>
      </c>
      <c r="F117" s="1">
        <v>141.33</v>
      </c>
    </row>
    <row r="118">
      <c r="A118" s="28" t="s">
        <v>220</v>
      </c>
      <c r="B118" s="1">
        <v>1960.0</v>
      </c>
      <c r="C118" s="1">
        <v>31.67</v>
      </c>
      <c r="D118" s="1">
        <v>136.69</v>
      </c>
      <c r="E118" s="1">
        <v>46.93</v>
      </c>
      <c r="F118" s="1">
        <v>202.58</v>
      </c>
    </row>
    <row r="119">
      <c r="A119" s="29" t="s">
        <v>222</v>
      </c>
      <c r="B119" s="1">
        <v>1960.0</v>
      </c>
      <c r="C119" s="1">
        <v>23.75</v>
      </c>
      <c r="D119" s="1">
        <v>102.52</v>
      </c>
      <c r="E119" s="1">
        <v>46.93</v>
      </c>
      <c r="F119" s="1">
        <v>202.58</v>
      </c>
    </row>
    <row r="120">
      <c r="A120" s="30" t="s">
        <v>215</v>
      </c>
      <c r="B120" s="1">
        <v>1960.0</v>
      </c>
      <c r="C120" s="1">
        <v>28.72</v>
      </c>
      <c r="D120" s="1">
        <v>123.97</v>
      </c>
      <c r="E120" s="1">
        <v>56.75</v>
      </c>
      <c r="F120" s="1">
        <v>244.98</v>
      </c>
    </row>
    <row r="121">
      <c r="A121" s="27" t="s">
        <v>224</v>
      </c>
      <c r="B121" s="1">
        <v>1960.0</v>
      </c>
      <c r="C121" s="1">
        <v>28.72</v>
      </c>
      <c r="D121" s="1">
        <v>123.97</v>
      </c>
      <c r="E121" s="1">
        <v>28.72</v>
      </c>
      <c r="F121" s="1">
        <v>123.97</v>
      </c>
    </row>
    <row r="122">
      <c r="A122" s="20" t="s">
        <v>212</v>
      </c>
      <c r="B122" s="1">
        <v>1965.0</v>
      </c>
      <c r="C122" s="1">
        <v>38.03</v>
      </c>
      <c r="D122" s="1">
        <v>164.17</v>
      </c>
      <c r="E122" s="1">
        <v>37.54</v>
      </c>
      <c r="F122" s="1">
        <v>162.04</v>
      </c>
    </row>
    <row r="123">
      <c r="A123" s="20" t="s">
        <v>214</v>
      </c>
      <c r="B123" s="1">
        <v>1965.0</v>
      </c>
      <c r="C123" s="1">
        <v>44.55</v>
      </c>
      <c r="D123" s="1">
        <v>192.31</v>
      </c>
      <c r="E123" s="1">
        <v>43.97</v>
      </c>
      <c r="F123" s="1">
        <v>189.82</v>
      </c>
    </row>
    <row r="124">
      <c r="A124" s="19" t="s">
        <v>216</v>
      </c>
      <c r="B124" s="1">
        <v>1965.0</v>
      </c>
      <c r="C124" s="1">
        <v>65.2</v>
      </c>
      <c r="D124" s="1">
        <v>281.43</v>
      </c>
      <c r="E124" s="1">
        <v>64.35</v>
      </c>
      <c r="F124" s="1">
        <v>277.78</v>
      </c>
    </row>
    <row r="125">
      <c r="A125" s="20" t="s">
        <v>213</v>
      </c>
      <c r="B125" s="1">
        <v>1965.0</v>
      </c>
      <c r="C125" s="1">
        <v>48.9</v>
      </c>
      <c r="D125" s="1">
        <v>211.07</v>
      </c>
      <c r="E125" s="1">
        <v>48.27</v>
      </c>
      <c r="F125" s="1">
        <v>208.34</v>
      </c>
    </row>
    <row r="126">
      <c r="A126" s="27" t="s">
        <v>218</v>
      </c>
      <c r="B126" s="1">
        <v>1965.0</v>
      </c>
      <c r="C126" s="1">
        <v>28.25</v>
      </c>
      <c r="D126" s="1">
        <v>121.95</v>
      </c>
      <c r="E126" s="1">
        <v>27.89</v>
      </c>
      <c r="F126" s="1">
        <v>120.37</v>
      </c>
    </row>
    <row r="127">
      <c r="A127" s="19" t="s">
        <v>217</v>
      </c>
      <c r="B127" s="1">
        <v>1965.0</v>
      </c>
      <c r="C127" s="1">
        <v>32.6</v>
      </c>
      <c r="D127" s="1">
        <v>140.71</v>
      </c>
      <c r="E127" s="1">
        <v>32.18</v>
      </c>
      <c r="F127" s="1">
        <v>138.89</v>
      </c>
    </row>
    <row r="128">
      <c r="A128" s="28" t="s">
        <v>220</v>
      </c>
      <c r="B128" s="1">
        <v>1965.0</v>
      </c>
      <c r="C128" s="1">
        <v>31.15</v>
      </c>
      <c r="D128" s="1">
        <v>134.46</v>
      </c>
      <c r="E128" s="1">
        <v>46.12</v>
      </c>
      <c r="F128" s="1">
        <v>199.08</v>
      </c>
    </row>
    <row r="129">
      <c r="A129" s="29" t="s">
        <v>222</v>
      </c>
      <c r="B129" s="1">
        <v>1965.0</v>
      </c>
      <c r="C129" s="1">
        <v>23.36</v>
      </c>
      <c r="D129" s="1">
        <v>100.85</v>
      </c>
      <c r="E129" s="1">
        <v>46.12</v>
      </c>
      <c r="F129" s="1">
        <v>199.08</v>
      </c>
    </row>
    <row r="130">
      <c r="A130" s="30" t="s">
        <v>215</v>
      </c>
      <c r="B130" s="1">
        <v>1965.0</v>
      </c>
      <c r="C130" s="1">
        <v>28.25</v>
      </c>
      <c r="D130" s="1">
        <v>121.95</v>
      </c>
      <c r="E130" s="1">
        <v>55.77</v>
      </c>
      <c r="F130" s="1">
        <v>240.74</v>
      </c>
    </row>
    <row r="131">
      <c r="A131" s="27" t="s">
        <v>224</v>
      </c>
      <c r="B131" s="1">
        <v>1965.0</v>
      </c>
      <c r="C131" s="1">
        <v>28.25</v>
      </c>
      <c r="D131" s="1">
        <v>121.95</v>
      </c>
      <c r="E131" s="1">
        <v>28.25</v>
      </c>
      <c r="F131" s="1">
        <v>121.95</v>
      </c>
    </row>
    <row r="132">
      <c r="A132" s="20" t="s">
        <v>212</v>
      </c>
      <c r="B132" s="1">
        <v>1970.0</v>
      </c>
      <c r="C132" s="1">
        <v>37.41</v>
      </c>
      <c r="D132" s="1">
        <v>161.49</v>
      </c>
      <c r="E132" s="1">
        <v>36.89</v>
      </c>
      <c r="F132" s="1">
        <v>159.24</v>
      </c>
    </row>
    <row r="133">
      <c r="A133" s="20" t="s">
        <v>214</v>
      </c>
      <c r="B133" s="1">
        <v>1970.0</v>
      </c>
      <c r="C133" s="1">
        <v>43.83</v>
      </c>
      <c r="D133" s="1">
        <v>189.17</v>
      </c>
      <c r="E133" s="1">
        <v>43.21</v>
      </c>
      <c r="F133" s="1">
        <v>186.54</v>
      </c>
    </row>
    <row r="134">
      <c r="A134" s="19" t="s">
        <v>216</v>
      </c>
      <c r="B134" s="1">
        <v>1970.0</v>
      </c>
      <c r="C134" s="1">
        <v>64.13</v>
      </c>
      <c r="D134" s="1">
        <v>276.84</v>
      </c>
      <c r="E134" s="1">
        <v>63.24</v>
      </c>
      <c r="F134" s="1">
        <v>272.98</v>
      </c>
    </row>
    <row r="135">
      <c r="A135" s="20" t="s">
        <v>213</v>
      </c>
      <c r="B135" s="1">
        <v>1970.0</v>
      </c>
      <c r="C135" s="1">
        <v>48.1</v>
      </c>
      <c r="D135" s="1">
        <v>207.63</v>
      </c>
      <c r="E135" s="1">
        <v>47.43</v>
      </c>
      <c r="F135" s="1">
        <v>204.73</v>
      </c>
    </row>
    <row r="136">
      <c r="A136" s="27" t="s">
        <v>218</v>
      </c>
      <c r="B136" s="1">
        <v>1970.0</v>
      </c>
      <c r="C136" s="1">
        <v>27.79</v>
      </c>
      <c r="D136" s="1">
        <v>119.96</v>
      </c>
      <c r="E136" s="1">
        <v>27.4</v>
      </c>
      <c r="F136" s="1">
        <v>118.29</v>
      </c>
    </row>
    <row r="137">
      <c r="A137" s="19" t="s">
        <v>217</v>
      </c>
      <c r="B137" s="1">
        <v>1970.0</v>
      </c>
      <c r="C137" s="1">
        <v>32.07</v>
      </c>
      <c r="D137" s="1">
        <v>138.42</v>
      </c>
      <c r="E137" s="1">
        <v>31.62</v>
      </c>
      <c r="F137" s="1">
        <v>136.49</v>
      </c>
    </row>
    <row r="138">
      <c r="A138" s="28" t="s">
        <v>220</v>
      </c>
      <c r="B138" s="1">
        <v>1970.0</v>
      </c>
      <c r="C138" s="1">
        <v>30.64</v>
      </c>
      <c r="D138" s="1">
        <v>132.27</v>
      </c>
      <c r="E138" s="1">
        <v>45.32</v>
      </c>
      <c r="F138" s="1">
        <v>195.64</v>
      </c>
    </row>
    <row r="139">
      <c r="A139" s="29" t="s">
        <v>222</v>
      </c>
      <c r="B139" s="1">
        <v>1970.0</v>
      </c>
      <c r="C139" s="1">
        <v>22.98</v>
      </c>
      <c r="D139" s="1">
        <v>99.2</v>
      </c>
      <c r="E139" s="1">
        <v>45.32</v>
      </c>
      <c r="F139" s="1">
        <v>195.64</v>
      </c>
    </row>
    <row r="140">
      <c r="A140" s="30" t="s">
        <v>215</v>
      </c>
      <c r="B140" s="1">
        <v>1970.0</v>
      </c>
      <c r="C140" s="1">
        <v>27.79</v>
      </c>
      <c r="D140" s="1">
        <v>119.96</v>
      </c>
      <c r="E140" s="1">
        <v>54.81</v>
      </c>
      <c r="F140" s="1">
        <v>236.58</v>
      </c>
    </row>
    <row r="141">
      <c r="A141" s="27" t="s">
        <v>224</v>
      </c>
      <c r="B141" s="1">
        <v>1970.0</v>
      </c>
      <c r="C141" s="1">
        <v>27.79</v>
      </c>
      <c r="D141" s="1">
        <v>119.96</v>
      </c>
      <c r="E141" s="1">
        <v>27.79</v>
      </c>
      <c r="F141" s="1">
        <v>119.96</v>
      </c>
    </row>
    <row r="142">
      <c r="A142" s="20" t="s">
        <v>212</v>
      </c>
      <c r="B142" s="1">
        <v>1975.0</v>
      </c>
      <c r="C142" s="1">
        <v>36.8</v>
      </c>
      <c r="D142" s="1">
        <v>158.85</v>
      </c>
      <c r="E142" s="1">
        <v>36.25</v>
      </c>
      <c r="F142" s="1">
        <v>156.49</v>
      </c>
    </row>
    <row r="143">
      <c r="A143" s="20" t="s">
        <v>214</v>
      </c>
      <c r="B143" s="1">
        <v>1975.0</v>
      </c>
      <c r="C143" s="1">
        <v>43.11</v>
      </c>
      <c r="D143" s="1">
        <v>186.09</v>
      </c>
      <c r="E143" s="1">
        <v>42.47</v>
      </c>
      <c r="F143" s="1">
        <v>183.31</v>
      </c>
    </row>
    <row r="144">
      <c r="A144" s="19" t="s">
        <v>216</v>
      </c>
      <c r="B144" s="1">
        <v>1975.0</v>
      </c>
      <c r="C144" s="1">
        <v>63.09</v>
      </c>
      <c r="D144" s="1">
        <v>272.32</v>
      </c>
      <c r="E144" s="1">
        <v>62.15</v>
      </c>
      <c r="F144" s="1">
        <v>268.26</v>
      </c>
    </row>
    <row r="145">
      <c r="A145" s="20" t="s">
        <v>213</v>
      </c>
      <c r="B145" s="1">
        <v>1975.0</v>
      </c>
      <c r="C145" s="1">
        <v>47.32</v>
      </c>
      <c r="D145" s="1">
        <v>204.24</v>
      </c>
      <c r="E145" s="1">
        <v>46.61</v>
      </c>
      <c r="F145" s="1">
        <v>201.2</v>
      </c>
    </row>
    <row r="146">
      <c r="A146" s="27" t="s">
        <v>218</v>
      </c>
      <c r="B146" s="1">
        <v>1975.0</v>
      </c>
      <c r="C146" s="1">
        <v>27.34</v>
      </c>
      <c r="D146" s="1">
        <v>118.01</v>
      </c>
      <c r="E146" s="1">
        <v>26.93</v>
      </c>
      <c r="F146" s="1">
        <v>116.25</v>
      </c>
    </row>
    <row r="147">
      <c r="A147" s="19" t="s">
        <v>217</v>
      </c>
      <c r="B147" s="1">
        <v>1975.0</v>
      </c>
      <c r="C147" s="1">
        <v>31.54</v>
      </c>
      <c r="D147" s="1">
        <v>136.16</v>
      </c>
      <c r="E147" s="1">
        <v>31.07</v>
      </c>
      <c r="F147" s="1">
        <v>134.13</v>
      </c>
    </row>
    <row r="148">
      <c r="A148" s="28" t="s">
        <v>220</v>
      </c>
      <c r="B148" s="1">
        <v>1975.0</v>
      </c>
      <c r="C148" s="1">
        <v>30.14</v>
      </c>
      <c r="D148" s="1">
        <v>130.11</v>
      </c>
      <c r="E148" s="1">
        <v>44.54</v>
      </c>
      <c r="F148" s="1">
        <v>192.25</v>
      </c>
    </row>
    <row r="149">
      <c r="A149" s="29" t="s">
        <v>222</v>
      </c>
      <c r="B149" s="1">
        <v>1975.0</v>
      </c>
      <c r="C149" s="1">
        <v>22.61</v>
      </c>
      <c r="D149" s="1">
        <v>97.58</v>
      </c>
      <c r="E149" s="1">
        <v>44.54</v>
      </c>
      <c r="F149" s="1">
        <v>192.25</v>
      </c>
    </row>
    <row r="150">
      <c r="A150" s="30" t="s">
        <v>215</v>
      </c>
      <c r="B150" s="1">
        <v>1975.0</v>
      </c>
      <c r="C150" s="1">
        <v>27.34</v>
      </c>
      <c r="D150" s="1">
        <v>118.01</v>
      </c>
      <c r="E150" s="1">
        <v>53.86</v>
      </c>
      <c r="F150" s="1">
        <v>232.49</v>
      </c>
    </row>
    <row r="151">
      <c r="A151" s="27" t="s">
        <v>224</v>
      </c>
      <c r="B151" s="1">
        <v>1975.0</v>
      </c>
      <c r="C151" s="1">
        <v>27.34</v>
      </c>
      <c r="D151" s="1">
        <v>118.01</v>
      </c>
      <c r="E151" s="1">
        <v>27.34</v>
      </c>
      <c r="F151" s="1">
        <v>118.01</v>
      </c>
    </row>
    <row r="152">
      <c r="A152" s="20" t="s">
        <v>212</v>
      </c>
      <c r="B152" s="1">
        <v>1980.0</v>
      </c>
      <c r="C152" s="1">
        <v>36.2</v>
      </c>
      <c r="D152" s="1">
        <v>156.26</v>
      </c>
      <c r="E152" s="1">
        <v>35.63</v>
      </c>
      <c r="F152" s="1">
        <v>153.78</v>
      </c>
    </row>
    <row r="153">
      <c r="A153" s="20" t="s">
        <v>214</v>
      </c>
      <c r="B153" s="1">
        <v>1980.0</v>
      </c>
      <c r="C153" s="1">
        <v>42.41</v>
      </c>
      <c r="D153" s="1">
        <v>183.05</v>
      </c>
      <c r="E153" s="1">
        <v>41.73</v>
      </c>
      <c r="F153" s="1">
        <v>180.14</v>
      </c>
    </row>
    <row r="154">
      <c r="A154" s="19" t="s">
        <v>216</v>
      </c>
      <c r="B154" s="1">
        <v>1980.0</v>
      </c>
      <c r="C154" s="1">
        <v>62.06</v>
      </c>
      <c r="D154" s="1">
        <v>267.88</v>
      </c>
      <c r="E154" s="1">
        <v>61.07</v>
      </c>
      <c r="F154" s="1">
        <v>263.63</v>
      </c>
    </row>
    <row r="155">
      <c r="A155" s="20" t="s">
        <v>213</v>
      </c>
      <c r="B155" s="1">
        <v>1980.0</v>
      </c>
      <c r="C155" s="1">
        <v>46.54</v>
      </c>
      <c r="D155" s="1">
        <v>200.91</v>
      </c>
      <c r="E155" s="1">
        <v>45.81</v>
      </c>
      <c r="F155" s="1">
        <v>197.72</v>
      </c>
    </row>
    <row r="156">
      <c r="A156" s="27" t="s">
        <v>218</v>
      </c>
      <c r="B156" s="1">
        <v>1980.0</v>
      </c>
      <c r="C156" s="1">
        <v>26.89</v>
      </c>
      <c r="D156" s="1">
        <v>116.08</v>
      </c>
      <c r="E156" s="1">
        <v>26.47</v>
      </c>
      <c r="F156" s="1">
        <v>114.24</v>
      </c>
    </row>
    <row r="157">
      <c r="A157" s="19" t="s">
        <v>217</v>
      </c>
      <c r="B157" s="1">
        <v>1980.0</v>
      </c>
      <c r="C157" s="1">
        <v>31.03</v>
      </c>
      <c r="D157" s="1">
        <v>133.94</v>
      </c>
      <c r="E157" s="1">
        <v>30.54</v>
      </c>
      <c r="F157" s="1">
        <v>131.81</v>
      </c>
    </row>
    <row r="158">
      <c r="A158" s="28" t="s">
        <v>220</v>
      </c>
      <c r="B158" s="1">
        <v>1980.0</v>
      </c>
      <c r="C158" s="1">
        <v>29.65</v>
      </c>
      <c r="D158" s="1">
        <v>127.99</v>
      </c>
      <c r="E158" s="1">
        <v>43.77</v>
      </c>
      <c r="F158" s="1">
        <v>188.93</v>
      </c>
    </row>
    <row r="159">
      <c r="A159" s="29" t="s">
        <v>222</v>
      </c>
      <c r="B159" s="1">
        <v>1980.0</v>
      </c>
      <c r="C159" s="1">
        <v>22.24</v>
      </c>
      <c r="D159" s="1">
        <v>95.99</v>
      </c>
      <c r="E159" s="1">
        <v>43.77</v>
      </c>
      <c r="F159" s="1">
        <v>188.93</v>
      </c>
    </row>
    <row r="160">
      <c r="A160" s="30" t="s">
        <v>215</v>
      </c>
      <c r="B160" s="1">
        <v>1980.0</v>
      </c>
      <c r="C160" s="1">
        <v>26.89</v>
      </c>
      <c r="D160" s="1">
        <v>116.08</v>
      </c>
      <c r="E160" s="1">
        <v>52.93</v>
      </c>
      <c r="F160" s="1">
        <v>228.48</v>
      </c>
    </row>
    <row r="161">
      <c r="A161" s="27" t="s">
        <v>224</v>
      </c>
      <c r="B161" s="1">
        <v>1980.0</v>
      </c>
      <c r="C161" s="1">
        <v>26.89</v>
      </c>
      <c r="D161" s="1">
        <v>116.08</v>
      </c>
      <c r="E161" s="1">
        <v>26.89</v>
      </c>
      <c r="F161" s="1">
        <v>116.08</v>
      </c>
    </row>
    <row r="162">
      <c r="A162" s="20" t="s">
        <v>212</v>
      </c>
      <c r="B162" s="1">
        <v>1985.0</v>
      </c>
      <c r="C162" s="1">
        <v>35.61</v>
      </c>
      <c r="D162" s="1">
        <v>153.71</v>
      </c>
      <c r="E162" s="1">
        <v>35.01</v>
      </c>
      <c r="F162" s="1">
        <v>151.12</v>
      </c>
    </row>
    <row r="163">
      <c r="A163" s="20" t="s">
        <v>214</v>
      </c>
      <c r="B163" s="1">
        <v>1985.0</v>
      </c>
      <c r="C163" s="1">
        <v>41.72</v>
      </c>
      <c r="D163" s="1">
        <v>180.07</v>
      </c>
      <c r="E163" s="1">
        <v>41.01</v>
      </c>
      <c r="F163" s="1">
        <v>177.03</v>
      </c>
    </row>
    <row r="164">
      <c r="A164" s="19" t="s">
        <v>216</v>
      </c>
      <c r="B164" s="1">
        <v>1985.0</v>
      </c>
      <c r="C164" s="1">
        <v>61.05</v>
      </c>
      <c r="D164" s="1">
        <v>263.51</v>
      </c>
      <c r="E164" s="1">
        <v>60.02</v>
      </c>
      <c r="F164" s="1">
        <v>259.07</v>
      </c>
    </row>
    <row r="165">
      <c r="A165" s="20" t="s">
        <v>213</v>
      </c>
      <c r="B165" s="1">
        <v>1985.0</v>
      </c>
      <c r="C165" s="1">
        <v>45.79</v>
      </c>
      <c r="D165" s="1">
        <v>197.63</v>
      </c>
      <c r="E165" s="1">
        <v>45.01</v>
      </c>
      <c r="F165" s="1">
        <v>194.3</v>
      </c>
    </row>
    <row r="166">
      <c r="A166" s="27" t="s">
        <v>218</v>
      </c>
      <c r="B166" s="1">
        <v>1985.0</v>
      </c>
      <c r="C166" s="1">
        <v>26.45</v>
      </c>
      <c r="D166" s="1">
        <v>114.19</v>
      </c>
      <c r="E166" s="1">
        <v>26.01</v>
      </c>
      <c r="F166" s="1">
        <v>112.26</v>
      </c>
    </row>
    <row r="167">
      <c r="A167" s="19" t="s">
        <v>217</v>
      </c>
      <c r="B167" s="1">
        <v>1985.0</v>
      </c>
      <c r="C167" s="1">
        <v>30.52</v>
      </c>
      <c r="D167" s="1">
        <v>131.76</v>
      </c>
      <c r="E167" s="1">
        <v>30.01</v>
      </c>
      <c r="F167" s="1">
        <v>129.54</v>
      </c>
    </row>
    <row r="168">
      <c r="A168" s="28" t="s">
        <v>220</v>
      </c>
      <c r="B168" s="1">
        <v>1985.0</v>
      </c>
      <c r="C168" s="1">
        <v>29.17</v>
      </c>
      <c r="D168" s="1">
        <v>125.9</v>
      </c>
      <c r="E168" s="1">
        <v>43.01</v>
      </c>
      <c r="F168" s="1">
        <v>185.67</v>
      </c>
    </row>
    <row r="169">
      <c r="A169" s="29" t="s">
        <v>222</v>
      </c>
      <c r="B169" s="1">
        <v>1985.0</v>
      </c>
      <c r="C169" s="1">
        <v>21.88</v>
      </c>
      <c r="D169" s="1">
        <v>94.42</v>
      </c>
      <c r="E169" s="1">
        <v>43.01</v>
      </c>
      <c r="F169" s="1">
        <v>185.67</v>
      </c>
    </row>
    <row r="170">
      <c r="A170" s="30" t="s">
        <v>215</v>
      </c>
      <c r="B170" s="1">
        <v>1985.0</v>
      </c>
      <c r="C170" s="1">
        <v>26.45</v>
      </c>
      <c r="D170" s="1">
        <v>114.19</v>
      </c>
      <c r="E170" s="1">
        <v>52.02</v>
      </c>
      <c r="F170" s="1">
        <v>224.53</v>
      </c>
    </row>
    <row r="171">
      <c r="A171" s="27" t="s">
        <v>224</v>
      </c>
      <c r="B171" s="1">
        <v>1985.0</v>
      </c>
      <c r="C171" s="1">
        <v>26.45</v>
      </c>
      <c r="D171" s="1">
        <v>114.19</v>
      </c>
      <c r="E171" s="1">
        <v>26.45</v>
      </c>
      <c r="F171" s="1">
        <v>114.19</v>
      </c>
    </row>
    <row r="172">
      <c r="A172" s="20" t="s">
        <v>212</v>
      </c>
      <c r="B172" s="1">
        <v>1990.0</v>
      </c>
      <c r="C172" s="1">
        <v>35.03</v>
      </c>
      <c r="D172" s="1">
        <v>151.21</v>
      </c>
      <c r="E172" s="1">
        <v>34.41</v>
      </c>
      <c r="F172" s="1">
        <v>148.51</v>
      </c>
    </row>
    <row r="173">
      <c r="A173" s="20" t="s">
        <v>214</v>
      </c>
      <c r="B173" s="1">
        <v>1990.0</v>
      </c>
      <c r="C173" s="1">
        <v>41.04</v>
      </c>
      <c r="D173" s="1">
        <v>177.13</v>
      </c>
      <c r="E173" s="1">
        <v>40.3</v>
      </c>
      <c r="F173" s="1">
        <v>173.97</v>
      </c>
    </row>
    <row r="174">
      <c r="A174" s="19" t="s">
        <v>216</v>
      </c>
      <c r="B174" s="1">
        <v>1990.0</v>
      </c>
      <c r="C174" s="1">
        <v>60.05</v>
      </c>
      <c r="D174" s="1">
        <v>259.21</v>
      </c>
      <c r="E174" s="1">
        <v>58.98</v>
      </c>
      <c r="F174" s="1">
        <v>254.59</v>
      </c>
    </row>
    <row r="175">
      <c r="A175" s="20" t="s">
        <v>213</v>
      </c>
      <c r="B175" s="1">
        <v>1990.0</v>
      </c>
      <c r="C175" s="1">
        <v>45.04</v>
      </c>
      <c r="D175" s="1">
        <v>194.41</v>
      </c>
      <c r="E175" s="1">
        <v>44.24</v>
      </c>
      <c r="F175" s="1">
        <v>190.94</v>
      </c>
    </row>
    <row r="176">
      <c r="A176" s="27" t="s">
        <v>218</v>
      </c>
      <c r="B176" s="1">
        <v>1990.0</v>
      </c>
      <c r="C176" s="1">
        <v>26.02</v>
      </c>
      <c r="D176" s="1">
        <v>112.33</v>
      </c>
      <c r="E176" s="1">
        <v>25.56</v>
      </c>
      <c r="F176" s="1">
        <v>110.32</v>
      </c>
    </row>
    <row r="177">
      <c r="A177" s="19" t="s">
        <v>217</v>
      </c>
      <c r="B177" s="1">
        <v>1990.0</v>
      </c>
      <c r="C177" s="1">
        <v>30.03</v>
      </c>
      <c r="D177" s="1">
        <v>129.61</v>
      </c>
      <c r="E177" s="1">
        <v>29.49</v>
      </c>
      <c r="F177" s="1">
        <v>127.3</v>
      </c>
    </row>
    <row r="178">
      <c r="A178" s="28" t="s">
        <v>220</v>
      </c>
      <c r="B178" s="1">
        <v>1990.0</v>
      </c>
      <c r="C178" s="1">
        <v>28.69</v>
      </c>
      <c r="D178" s="1">
        <v>123.85</v>
      </c>
      <c r="E178" s="1">
        <v>42.27</v>
      </c>
      <c r="F178" s="1">
        <v>182.46</v>
      </c>
    </row>
    <row r="179">
      <c r="A179" s="29" t="s">
        <v>222</v>
      </c>
      <c r="B179" s="1">
        <v>1990.0</v>
      </c>
      <c r="C179" s="1">
        <v>21.52</v>
      </c>
      <c r="D179" s="1">
        <v>92.89</v>
      </c>
      <c r="E179" s="1">
        <v>42.27</v>
      </c>
      <c r="F179" s="1">
        <v>182.46</v>
      </c>
    </row>
    <row r="180">
      <c r="A180" s="30" t="s">
        <v>215</v>
      </c>
      <c r="B180" s="1">
        <v>1990.0</v>
      </c>
      <c r="C180" s="1">
        <v>26.02</v>
      </c>
      <c r="D180" s="1">
        <v>112.33</v>
      </c>
      <c r="E180" s="1">
        <v>51.12</v>
      </c>
      <c r="F180" s="1">
        <v>220.65</v>
      </c>
    </row>
    <row r="181">
      <c r="A181" s="27" t="s">
        <v>224</v>
      </c>
      <c r="B181" s="1">
        <v>1990.0</v>
      </c>
      <c r="C181" s="1">
        <v>26.02</v>
      </c>
      <c r="D181" s="1">
        <v>112.33</v>
      </c>
      <c r="E181" s="1">
        <v>26.02</v>
      </c>
      <c r="F181" s="1">
        <v>112.33</v>
      </c>
    </row>
    <row r="182">
      <c r="A182" s="20" t="s">
        <v>212</v>
      </c>
      <c r="B182" s="1">
        <v>1995.0</v>
      </c>
      <c r="C182" s="1">
        <v>34.46</v>
      </c>
      <c r="D182" s="1">
        <v>148.74</v>
      </c>
      <c r="E182" s="1">
        <v>33.81</v>
      </c>
      <c r="F182" s="1">
        <v>145.95</v>
      </c>
    </row>
    <row r="183">
      <c r="A183" s="20" t="s">
        <v>214</v>
      </c>
      <c r="B183" s="1">
        <v>1995.0</v>
      </c>
      <c r="C183" s="1">
        <v>40.37</v>
      </c>
      <c r="D183" s="1">
        <v>174.24</v>
      </c>
      <c r="E183" s="1">
        <v>39.61</v>
      </c>
      <c r="F183" s="1">
        <v>170.97</v>
      </c>
    </row>
    <row r="184">
      <c r="A184" s="19" t="s">
        <v>216</v>
      </c>
      <c r="B184" s="1">
        <v>1995.0</v>
      </c>
      <c r="C184" s="1">
        <v>59.07</v>
      </c>
      <c r="D184" s="1">
        <v>254.99</v>
      </c>
      <c r="E184" s="1">
        <v>57.96</v>
      </c>
      <c r="F184" s="1">
        <v>250.19</v>
      </c>
    </row>
    <row r="185">
      <c r="A185" s="20" t="s">
        <v>213</v>
      </c>
      <c r="B185" s="1">
        <v>1995.0</v>
      </c>
      <c r="C185" s="1">
        <v>44.3</v>
      </c>
      <c r="D185" s="1">
        <v>191.24</v>
      </c>
      <c r="E185" s="1">
        <v>43.47</v>
      </c>
      <c r="F185" s="1">
        <v>187.65</v>
      </c>
    </row>
    <row r="186">
      <c r="A186" s="27" t="s">
        <v>218</v>
      </c>
      <c r="B186" s="1">
        <v>1995.0</v>
      </c>
      <c r="C186" s="1">
        <v>25.6</v>
      </c>
      <c r="D186" s="1">
        <v>110.49</v>
      </c>
      <c r="E186" s="1">
        <v>25.12</v>
      </c>
      <c r="F186" s="1">
        <v>108.42</v>
      </c>
    </row>
    <row r="187">
      <c r="A187" s="19" t="s">
        <v>217</v>
      </c>
      <c r="B187" s="1">
        <v>1995.0</v>
      </c>
      <c r="C187" s="1">
        <v>29.54</v>
      </c>
      <c r="D187" s="1">
        <v>127.49</v>
      </c>
      <c r="E187" s="1">
        <v>28.98</v>
      </c>
      <c r="F187" s="1">
        <v>125.1</v>
      </c>
    </row>
    <row r="188">
      <c r="A188" s="28" t="s">
        <v>220</v>
      </c>
      <c r="B188" s="1">
        <v>1995.0</v>
      </c>
      <c r="C188" s="1">
        <v>28.22</v>
      </c>
      <c r="D188" s="1">
        <v>121.83</v>
      </c>
      <c r="E188" s="1">
        <v>41.54</v>
      </c>
      <c r="F188" s="1">
        <v>179.31</v>
      </c>
    </row>
    <row r="189">
      <c r="A189" s="29" t="s">
        <v>222</v>
      </c>
      <c r="B189" s="1">
        <v>1995.0</v>
      </c>
      <c r="C189" s="1">
        <v>21.17</v>
      </c>
      <c r="D189" s="1">
        <v>91.37</v>
      </c>
      <c r="E189" s="1">
        <v>41.54</v>
      </c>
      <c r="F189" s="1">
        <v>179.31</v>
      </c>
    </row>
    <row r="190">
      <c r="A190" s="30" t="s">
        <v>215</v>
      </c>
      <c r="B190" s="1">
        <v>1995.0</v>
      </c>
      <c r="C190" s="1">
        <v>25.6</v>
      </c>
      <c r="D190" s="1">
        <v>110.49</v>
      </c>
      <c r="E190" s="1">
        <v>50.23</v>
      </c>
      <c r="F190" s="1">
        <v>216.83</v>
      </c>
    </row>
    <row r="191">
      <c r="A191" s="27" t="s">
        <v>224</v>
      </c>
      <c r="B191" s="1">
        <v>1995.0</v>
      </c>
      <c r="C191" s="1">
        <v>25.6</v>
      </c>
      <c r="D191" s="1">
        <v>110.49</v>
      </c>
      <c r="E191" s="1">
        <v>25.6</v>
      </c>
      <c r="F191" s="1">
        <v>110.49</v>
      </c>
    </row>
    <row r="192">
      <c r="A192" s="1" t="s">
        <v>223</v>
      </c>
      <c r="B192" s="1">
        <v>1995.0</v>
      </c>
      <c r="C192" s="1">
        <v>26.58</v>
      </c>
      <c r="D192" s="1">
        <v>114.74</v>
      </c>
      <c r="E192" s="1">
        <v>52.17</v>
      </c>
      <c r="F192" s="1">
        <v>225.17</v>
      </c>
    </row>
    <row r="193">
      <c r="A193" s="20" t="s">
        <v>212</v>
      </c>
      <c r="B193" s="1">
        <v>2000.0</v>
      </c>
      <c r="C193" s="1">
        <v>33.9</v>
      </c>
      <c r="D193" s="1">
        <v>146.32</v>
      </c>
      <c r="E193" s="1">
        <v>33.23</v>
      </c>
      <c r="F193" s="1">
        <v>143.43</v>
      </c>
    </row>
    <row r="194">
      <c r="A194" s="20" t="s">
        <v>214</v>
      </c>
      <c r="B194" s="1">
        <v>2000.0</v>
      </c>
      <c r="C194" s="1">
        <v>39.71</v>
      </c>
      <c r="D194" s="1">
        <v>171.4</v>
      </c>
      <c r="E194" s="1">
        <v>38.92</v>
      </c>
      <c r="F194" s="1">
        <v>168.01</v>
      </c>
    </row>
    <row r="195">
      <c r="A195" s="19" t="s">
        <v>216</v>
      </c>
      <c r="B195" s="1">
        <v>2000.0</v>
      </c>
      <c r="C195" s="1">
        <v>58.11</v>
      </c>
      <c r="D195" s="1">
        <v>250.83</v>
      </c>
      <c r="E195" s="1">
        <v>56.96</v>
      </c>
      <c r="F195" s="1">
        <v>245.87</v>
      </c>
    </row>
    <row r="196">
      <c r="A196" s="20" t="s">
        <v>213</v>
      </c>
      <c r="B196" s="1">
        <v>2000.0</v>
      </c>
      <c r="C196" s="1">
        <v>43.58</v>
      </c>
      <c r="D196" s="1">
        <v>188.12</v>
      </c>
      <c r="E196" s="1">
        <v>42.72</v>
      </c>
      <c r="F196" s="1">
        <v>184.4</v>
      </c>
    </row>
    <row r="197">
      <c r="A197" s="27" t="s">
        <v>218</v>
      </c>
      <c r="B197" s="1">
        <v>2000.0</v>
      </c>
      <c r="C197" s="1">
        <v>25.18</v>
      </c>
      <c r="D197" s="1">
        <v>108.69</v>
      </c>
      <c r="E197" s="1">
        <v>24.68</v>
      </c>
      <c r="F197" s="1">
        <v>106.54</v>
      </c>
    </row>
    <row r="198">
      <c r="A198" s="19" t="s">
        <v>217</v>
      </c>
      <c r="B198" s="1">
        <v>2000.0</v>
      </c>
      <c r="C198" s="1">
        <v>29.05</v>
      </c>
      <c r="D198" s="1">
        <v>125.41</v>
      </c>
      <c r="E198" s="1">
        <v>28.48</v>
      </c>
      <c r="F198" s="1">
        <v>122.94</v>
      </c>
    </row>
    <row r="199">
      <c r="A199" s="28" t="s">
        <v>220</v>
      </c>
      <c r="B199" s="1">
        <v>2000.0</v>
      </c>
      <c r="C199" s="1">
        <v>27.76</v>
      </c>
      <c r="D199" s="1">
        <v>119.84</v>
      </c>
      <c r="E199" s="1">
        <v>40.82</v>
      </c>
      <c r="F199" s="1">
        <v>176.21</v>
      </c>
    </row>
    <row r="200">
      <c r="A200" s="29" t="s">
        <v>222</v>
      </c>
      <c r="B200" s="1">
        <v>2000.0</v>
      </c>
      <c r="C200" s="1">
        <v>20.82</v>
      </c>
      <c r="D200" s="1">
        <v>89.88</v>
      </c>
      <c r="E200" s="1">
        <v>40.82</v>
      </c>
      <c r="F200" s="1">
        <v>176.21</v>
      </c>
    </row>
    <row r="201">
      <c r="A201" s="30" t="s">
        <v>215</v>
      </c>
      <c r="B201" s="1">
        <v>2000.0</v>
      </c>
      <c r="C201" s="1">
        <v>25.18</v>
      </c>
      <c r="D201" s="1">
        <v>108.69</v>
      </c>
      <c r="E201" s="1">
        <v>49.37</v>
      </c>
      <c r="F201" s="1">
        <v>213.09</v>
      </c>
    </row>
    <row r="202">
      <c r="A202" s="27" t="s">
        <v>224</v>
      </c>
      <c r="B202" s="1">
        <v>2000.0</v>
      </c>
      <c r="C202" s="1">
        <v>25.18</v>
      </c>
      <c r="D202" s="1">
        <v>108.69</v>
      </c>
      <c r="E202" s="1">
        <v>25.18</v>
      </c>
      <c r="F202" s="1">
        <v>108.69</v>
      </c>
    </row>
    <row r="203">
      <c r="A203" s="1" t="s">
        <v>223</v>
      </c>
      <c r="B203" s="1">
        <v>2000.0</v>
      </c>
      <c r="C203" s="1">
        <v>26.15</v>
      </c>
      <c r="D203" s="1">
        <v>112.87</v>
      </c>
      <c r="E203" s="1">
        <v>51.26</v>
      </c>
      <c r="F203" s="1">
        <v>221.28</v>
      </c>
    </row>
    <row r="204">
      <c r="A204" s="20" t="s">
        <v>212</v>
      </c>
      <c r="B204" s="1">
        <v>2005.0</v>
      </c>
      <c r="C204" s="1">
        <v>33.34</v>
      </c>
      <c r="D204" s="1">
        <v>143.93</v>
      </c>
      <c r="E204" s="1">
        <v>32.65</v>
      </c>
      <c r="F204" s="1">
        <v>140.95</v>
      </c>
    </row>
    <row r="205">
      <c r="A205" s="20" t="s">
        <v>214</v>
      </c>
      <c r="B205" s="1">
        <v>2005.0</v>
      </c>
      <c r="C205" s="1">
        <v>39.06</v>
      </c>
      <c r="D205" s="1">
        <v>168.6</v>
      </c>
      <c r="E205" s="1">
        <v>38.25</v>
      </c>
      <c r="F205" s="1">
        <v>165.11</v>
      </c>
    </row>
    <row r="206">
      <c r="A206" s="19" t="s">
        <v>216</v>
      </c>
      <c r="B206" s="1">
        <v>2005.0</v>
      </c>
      <c r="C206" s="1">
        <v>57.16</v>
      </c>
      <c r="D206" s="1">
        <v>246.74</v>
      </c>
      <c r="E206" s="1">
        <v>55.98</v>
      </c>
      <c r="F206" s="1">
        <v>241.62</v>
      </c>
    </row>
    <row r="207">
      <c r="A207" s="20" t="s">
        <v>213</v>
      </c>
      <c r="B207" s="1">
        <v>2005.0</v>
      </c>
      <c r="C207" s="1">
        <v>42.87</v>
      </c>
      <c r="D207" s="1">
        <v>185.05</v>
      </c>
      <c r="E207" s="1">
        <v>41.98</v>
      </c>
      <c r="F207" s="1">
        <v>181.22</v>
      </c>
    </row>
    <row r="208">
      <c r="A208" s="27" t="s">
        <v>218</v>
      </c>
      <c r="B208" s="1">
        <v>2005.0</v>
      </c>
      <c r="C208" s="1">
        <v>24.77</v>
      </c>
      <c r="D208" s="1">
        <v>106.92</v>
      </c>
      <c r="E208" s="1">
        <v>24.26</v>
      </c>
      <c r="F208" s="1">
        <v>104.7</v>
      </c>
    </row>
    <row r="209">
      <c r="A209" s="19" t="s">
        <v>217</v>
      </c>
      <c r="B209" s="1">
        <v>2005.0</v>
      </c>
      <c r="C209" s="1">
        <v>28.58</v>
      </c>
      <c r="D209" s="1">
        <v>123.37</v>
      </c>
      <c r="E209" s="1">
        <v>27.99</v>
      </c>
      <c r="F209" s="1">
        <v>120.81</v>
      </c>
    </row>
    <row r="210">
      <c r="A210" s="28" t="s">
        <v>220</v>
      </c>
      <c r="B210" s="1">
        <v>2005.0</v>
      </c>
      <c r="C210" s="1">
        <v>27.31</v>
      </c>
      <c r="D210" s="1">
        <v>117.89</v>
      </c>
      <c r="E210" s="1">
        <v>40.12</v>
      </c>
      <c r="F210" s="1">
        <v>173.16</v>
      </c>
    </row>
    <row r="211">
      <c r="A211" s="29" t="s">
        <v>222</v>
      </c>
      <c r="B211" s="1">
        <v>2005.0</v>
      </c>
      <c r="C211" s="1">
        <v>20.48</v>
      </c>
      <c r="D211" s="1">
        <v>88.41</v>
      </c>
      <c r="E211" s="1">
        <v>40.12</v>
      </c>
      <c r="F211" s="1">
        <v>173.16</v>
      </c>
    </row>
    <row r="212">
      <c r="A212" s="30" t="s">
        <v>215</v>
      </c>
      <c r="B212" s="1">
        <v>2005.0</v>
      </c>
      <c r="C212" s="1">
        <v>24.77</v>
      </c>
      <c r="D212" s="1">
        <v>106.92</v>
      </c>
      <c r="E212" s="1">
        <v>48.51</v>
      </c>
      <c r="F212" s="1">
        <v>209.4</v>
      </c>
    </row>
    <row r="213">
      <c r="A213" s="27" t="s">
        <v>224</v>
      </c>
      <c r="B213" s="1">
        <v>2005.0</v>
      </c>
      <c r="C213" s="1">
        <v>24.77</v>
      </c>
      <c r="D213" s="1">
        <v>106.92</v>
      </c>
      <c r="E213" s="1">
        <v>24.77</v>
      </c>
      <c r="F213" s="1">
        <v>106.92</v>
      </c>
    </row>
    <row r="214">
      <c r="A214" s="1" t="s">
        <v>223</v>
      </c>
      <c r="B214" s="1">
        <v>2005.0</v>
      </c>
      <c r="C214" s="1">
        <v>25.72</v>
      </c>
      <c r="D214" s="1">
        <v>111.03</v>
      </c>
      <c r="E214" s="1">
        <v>50.38</v>
      </c>
      <c r="F214" s="1">
        <v>217.46</v>
      </c>
    </row>
    <row r="215">
      <c r="A215" s="20" t="s">
        <v>212</v>
      </c>
      <c r="B215" s="1">
        <v>2010.0</v>
      </c>
      <c r="C215" s="1">
        <v>32.8</v>
      </c>
      <c r="D215" s="1">
        <v>141.58</v>
      </c>
      <c r="E215" s="1">
        <v>32.09</v>
      </c>
      <c r="F215" s="1">
        <v>138.51</v>
      </c>
    </row>
    <row r="216">
      <c r="A216" s="20" t="s">
        <v>214</v>
      </c>
      <c r="B216" s="1">
        <v>2010.0</v>
      </c>
      <c r="C216" s="1">
        <v>38.42</v>
      </c>
      <c r="D216" s="1">
        <v>165.85</v>
      </c>
      <c r="E216" s="1">
        <v>37.59</v>
      </c>
      <c r="F216" s="1">
        <v>162.25</v>
      </c>
    </row>
    <row r="217">
      <c r="A217" s="19" t="s">
        <v>216</v>
      </c>
      <c r="B217" s="1">
        <v>2010.0</v>
      </c>
      <c r="C217" s="1">
        <v>56.23</v>
      </c>
      <c r="D217" s="1">
        <v>242.71</v>
      </c>
      <c r="E217" s="1">
        <v>55.01</v>
      </c>
      <c r="F217" s="1">
        <v>237.45</v>
      </c>
    </row>
    <row r="218">
      <c r="A218" s="20" t="s">
        <v>213</v>
      </c>
      <c r="B218" s="1">
        <v>2010.0</v>
      </c>
      <c r="C218" s="1">
        <v>42.17</v>
      </c>
      <c r="D218" s="1">
        <v>182.03</v>
      </c>
      <c r="E218" s="1">
        <v>41.26</v>
      </c>
      <c r="F218" s="1">
        <v>178.08</v>
      </c>
    </row>
    <row r="219">
      <c r="A219" s="27" t="s">
        <v>218</v>
      </c>
      <c r="B219" s="1">
        <v>2010.0</v>
      </c>
      <c r="C219" s="1">
        <v>24.37</v>
      </c>
      <c r="D219" s="1">
        <v>105.18</v>
      </c>
      <c r="E219" s="1">
        <v>23.84</v>
      </c>
      <c r="F219" s="1">
        <v>102.89</v>
      </c>
    </row>
    <row r="220">
      <c r="A220" s="19" t="s">
        <v>217</v>
      </c>
      <c r="B220" s="1">
        <v>2010.0</v>
      </c>
      <c r="C220" s="1">
        <v>28.11</v>
      </c>
      <c r="D220" s="1">
        <v>121.36</v>
      </c>
      <c r="E220" s="1">
        <v>27.5</v>
      </c>
      <c r="F220" s="1">
        <v>118.72</v>
      </c>
    </row>
    <row r="221">
      <c r="A221" s="28" t="s">
        <v>220</v>
      </c>
      <c r="B221" s="1">
        <v>2010.0</v>
      </c>
      <c r="C221" s="1">
        <v>26.86</v>
      </c>
      <c r="D221" s="1">
        <v>115.96</v>
      </c>
      <c r="E221" s="1">
        <v>39.42</v>
      </c>
      <c r="F221" s="1">
        <v>170.17</v>
      </c>
    </row>
    <row r="222">
      <c r="A222" s="29" t="s">
        <v>222</v>
      </c>
      <c r="B222" s="1">
        <v>2010.0</v>
      </c>
      <c r="C222" s="1">
        <v>20.15</v>
      </c>
      <c r="D222" s="1">
        <v>86.97</v>
      </c>
      <c r="E222" s="1">
        <v>39.42</v>
      </c>
      <c r="F222" s="1">
        <v>170.17</v>
      </c>
    </row>
    <row r="223">
      <c r="A223" s="30" t="s">
        <v>215</v>
      </c>
      <c r="B223" s="1">
        <v>2010.0</v>
      </c>
      <c r="C223" s="1">
        <v>24.37</v>
      </c>
      <c r="D223" s="1">
        <v>105.18</v>
      </c>
      <c r="E223" s="1">
        <v>47.67</v>
      </c>
      <c r="F223" s="1">
        <v>205.79</v>
      </c>
    </row>
    <row r="224">
      <c r="A224" s="27" t="s">
        <v>224</v>
      </c>
      <c r="B224" s="1">
        <v>2010.0</v>
      </c>
      <c r="C224" s="1">
        <v>24.37</v>
      </c>
      <c r="D224" s="1">
        <v>105.18</v>
      </c>
      <c r="E224" s="1">
        <v>24.37</v>
      </c>
      <c r="F224" s="1">
        <v>105.18</v>
      </c>
    </row>
    <row r="225">
      <c r="A225" s="1" t="s">
        <v>223</v>
      </c>
      <c r="B225" s="1">
        <v>2010.0</v>
      </c>
      <c r="C225" s="1">
        <v>25.3</v>
      </c>
      <c r="D225" s="1">
        <v>109.22</v>
      </c>
      <c r="E225" s="1">
        <v>49.51</v>
      </c>
      <c r="F225" s="1">
        <v>213.7</v>
      </c>
    </row>
    <row r="226">
      <c r="A226" s="20" t="s">
        <v>212</v>
      </c>
      <c r="B226" s="1">
        <v>2015.0</v>
      </c>
      <c r="C226" s="1">
        <v>32.27</v>
      </c>
      <c r="D226" s="1">
        <v>139.27</v>
      </c>
      <c r="E226" s="1">
        <v>31.53</v>
      </c>
      <c r="F226" s="1">
        <v>136.12</v>
      </c>
    </row>
    <row r="227">
      <c r="A227" s="20" t="s">
        <v>214</v>
      </c>
      <c r="B227" s="1">
        <v>2015.0</v>
      </c>
      <c r="C227" s="1">
        <v>37.8</v>
      </c>
      <c r="D227" s="1">
        <v>163.15</v>
      </c>
      <c r="E227" s="1">
        <v>36.94</v>
      </c>
      <c r="F227" s="1">
        <v>159.45</v>
      </c>
    </row>
    <row r="228">
      <c r="A228" s="19" t="s">
        <v>216</v>
      </c>
      <c r="B228" s="1">
        <v>2015.0</v>
      </c>
      <c r="C228" s="1">
        <v>55.31</v>
      </c>
      <c r="D228" s="1">
        <v>238.76</v>
      </c>
      <c r="E228" s="1">
        <v>54.06</v>
      </c>
      <c r="F228" s="1">
        <v>233.34</v>
      </c>
    </row>
    <row r="229">
      <c r="A229" s="20" t="s">
        <v>213</v>
      </c>
      <c r="B229" s="1">
        <v>2015.0</v>
      </c>
      <c r="C229" s="1">
        <v>41.48</v>
      </c>
      <c r="D229" s="1">
        <v>179.07</v>
      </c>
      <c r="E229" s="1">
        <v>40.54</v>
      </c>
      <c r="F229" s="1">
        <v>175.01</v>
      </c>
    </row>
    <row r="230">
      <c r="A230" s="27" t="s">
        <v>218</v>
      </c>
      <c r="B230" s="1">
        <v>2015.0</v>
      </c>
      <c r="C230" s="1">
        <v>23.97</v>
      </c>
      <c r="D230" s="1">
        <v>103.46</v>
      </c>
      <c r="E230" s="1">
        <v>23.43</v>
      </c>
      <c r="F230" s="1">
        <v>101.12</v>
      </c>
    </row>
    <row r="231">
      <c r="A231" s="19" t="s">
        <v>217</v>
      </c>
      <c r="B231" s="1">
        <v>2015.0</v>
      </c>
      <c r="C231" s="1">
        <v>27.66</v>
      </c>
      <c r="D231" s="1">
        <v>119.38</v>
      </c>
      <c r="E231" s="1">
        <v>27.03</v>
      </c>
      <c r="F231" s="1">
        <v>116.67</v>
      </c>
    </row>
    <row r="232">
      <c r="A232" s="28" t="s">
        <v>220</v>
      </c>
      <c r="B232" s="1">
        <v>2015.0</v>
      </c>
      <c r="C232" s="1">
        <v>26.43</v>
      </c>
      <c r="D232" s="1">
        <v>114.07</v>
      </c>
      <c r="E232" s="1">
        <v>38.74</v>
      </c>
      <c r="F232" s="1">
        <v>167.23</v>
      </c>
    </row>
    <row r="233">
      <c r="A233" s="29" t="s">
        <v>222</v>
      </c>
      <c r="B233" s="1">
        <v>2015.0</v>
      </c>
      <c r="C233" s="1">
        <v>19.82</v>
      </c>
      <c r="D233" s="1">
        <v>85.55</v>
      </c>
      <c r="E233" s="1">
        <v>38.74</v>
      </c>
      <c r="F233" s="1">
        <v>167.23</v>
      </c>
    </row>
    <row r="234">
      <c r="A234" s="30" t="s">
        <v>215</v>
      </c>
      <c r="B234" s="1">
        <v>2015.0</v>
      </c>
      <c r="C234" s="1">
        <v>23.97</v>
      </c>
      <c r="D234" s="1">
        <v>103.46</v>
      </c>
      <c r="E234" s="1">
        <v>46.85</v>
      </c>
      <c r="F234" s="1">
        <v>202.23</v>
      </c>
    </row>
    <row r="235">
      <c r="A235" s="27" t="s">
        <v>224</v>
      </c>
      <c r="B235" s="1">
        <v>2015.0</v>
      </c>
      <c r="C235" s="1">
        <v>23.97</v>
      </c>
      <c r="D235" s="1">
        <v>103.46</v>
      </c>
      <c r="E235" s="1">
        <v>23.97</v>
      </c>
      <c r="F235" s="1">
        <v>103.46</v>
      </c>
    </row>
    <row r="236">
      <c r="A236" s="1" t="s">
        <v>223</v>
      </c>
      <c r="B236" s="1">
        <v>2015.0</v>
      </c>
      <c r="C236" s="1">
        <v>24.89</v>
      </c>
      <c r="D236" s="1">
        <v>107.44</v>
      </c>
      <c r="E236" s="1">
        <v>48.65</v>
      </c>
      <c r="F236" s="1">
        <v>210.01</v>
      </c>
    </row>
    <row r="237">
      <c r="A237" s="20" t="s">
        <v>212</v>
      </c>
      <c r="B237" s="1">
        <v>2020.0</v>
      </c>
      <c r="C237" s="1">
        <v>31.74</v>
      </c>
      <c r="D237" s="1">
        <v>137.0</v>
      </c>
      <c r="E237" s="1">
        <v>30.99</v>
      </c>
      <c r="F237" s="1">
        <v>133.77</v>
      </c>
    </row>
    <row r="238">
      <c r="A238" s="20" t="s">
        <v>214</v>
      </c>
      <c r="B238" s="1">
        <v>2020.0</v>
      </c>
      <c r="C238" s="1">
        <v>37.18</v>
      </c>
      <c r="D238" s="1">
        <v>160.49</v>
      </c>
      <c r="E238" s="1">
        <v>36.3</v>
      </c>
      <c r="F238" s="1">
        <v>156.7</v>
      </c>
    </row>
    <row r="239">
      <c r="A239" s="19" t="s">
        <v>216</v>
      </c>
      <c r="B239" s="1">
        <v>2020.0</v>
      </c>
      <c r="C239" s="1">
        <v>54.41</v>
      </c>
      <c r="D239" s="1">
        <v>234.86</v>
      </c>
      <c r="E239" s="1">
        <v>53.12</v>
      </c>
      <c r="F239" s="1">
        <v>229.31</v>
      </c>
    </row>
    <row r="240">
      <c r="A240" s="20" t="s">
        <v>213</v>
      </c>
      <c r="B240" s="1">
        <v>2020.0</v>
      </c>
      <c r="C240" s="1">
        <v>40.81</v>
      </c>
      <c r="D240" s="1">
        <v>176.15</v>
      </c>
      <c r="E240" s="1">
        <v>39.84</v>
      </c>
      <c r="F240" s="1">
        <v>171.98</v>
      </c>
    </row>
    <row r="241">
      <c r="A241" s="27" t="s">
        <v>218</v>
      </c>
      <c r="B241" s="1">
        <v>2020.0</v>
      </c>
      <c r="C241" s="1">
        <v>23.58</v>
      </c>
      <c r="D241" s="1">
        <v>101.77</v>
      </c>
      <c r="E241" s="1">
        <v>23.02</v>
      </c>
      <c r="F241" s="1">
        <v>99.37</v>
      </c>
    </row>
    <row r="242">
      <c r="A242" s="19" t="s">
        <v>217</v>
      </c>
      <c r="B242" s="1">
        <v>2020.0</v>
      </c>
      <c r="C242" s="1">
        <v>27.21</v>
      </c>
      <c r="D242" s="1">
        <v>117.43</v>
      </c>
      <c r="E242" s="1">
        <v>26.56</v>
      </c>
      <c r="F242" s="1">
        <v>114.66</v>
      </c>
    </row>
    <row r="243">
      <c r="A243" s="28" t="s">
        <v>220</v>
      </c>
      <c r="B243" s="1">
        <v>2020.0</v>
      </c>
      <c r="C243" s="1">
        <v>26.0</v>
      </c>
      <c r="D243" s="1">
        <v>112.21</v>
      </c>
      <c r="E243" s="1">
        <v>38.07</v>
      </c>
      <c r="F243" s="1">
        <v>164.34</v>
      </c>
    </row>
    <row r="244">
      <c r="A244" s="29" t="s">
        <v>222</v>
      </c>
      <c r="B244" s="1">
        <v>2020.0</v>
      </c>
      <c r="C244" s="1">
        <v>19.5</v>
      </c>
      <c r="D244" s="1">
        <v>84.16</v>
      </c>
      <c r="E244" s="1">
        <v>38.07</v>
      </c>
      <c r="F244" s="1">
        <v>164.34</v>
      </c>
    </row>
    <row r="245">
      <c r="A245" s="30" t="s">
        <v>215</v>
      </c>
      <c r="B245" s="1">
        <v>2020.0</v>
      </c>
      <c r="C245" s="1">
        <v>23.58</v>
      </c>
      <c r="D245" s="1">
        <v>101.77</v>
      </c>
      <c r="E245" s="1">
        <v>46.04</v>
      </c>
      <c r="F245" s="1">
        <v>198.74</v>
      </c>
    </row>
    <row r="246">
      <c r="A246" s="27" t="s">
        <v>224</v>
      </c>
      <c r="B246" s="1">
        <v>2020.0</v>
      </c>
      <c r="C246" s="1">
        <v>23.58</v>
      </c>
      <c r="D246" s="1">
        <v>101.77</v>
      </c>
      <c r="E246" s="1">
        <v>23.58</v>
      </c>
      <c r="F246" s="1">
        <v>101.77</v>
      </c>
    </row>
    <row r="247">
      <c r="A247" s="1" t="s">
        <v>223</v>
      </c>
      <c r="B247" s="1">
        <v>2020.0</v>
      </c>
      <c r="C247" s="1">
        <v>24.48</v>
      </c>
      <c r="D247" s="1">
        <v>105.69</v>
      </c>
      <c r="E247" s="1">
        <v>47.81</v>
      </c>
      <c r="F247" s="1">
        <v>206.38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4.63"/>
    <col customWidth="1" min="17" max="17" width="20.13"/>
    <col customWidth="1" min="20" max="20" width="20.25"/>
  </cols>
  <sheetData>
    <row r="1">
      <c r="A1" s="31" t="s">
        <v>199</v>
      </c>
      <c r="B1" s="31" t="s">
        <v>204</v>
      </c>
      <c r="C1" s="31" t="s">
        <v>225</v>
      </c>
      <c r="D1" s="31" t="s">
        <v>226</v>
      </c>
      <c r="E1" s="31" t="s">
        <v>227</v>
      </c>
      <c r="F1" s="31" t="s">
        <v>228</v>
      </c>
      <c r="G1" s="31" t="s">
        <v>229</v>
      </c>
      <c r="H1" s="31" t="s">
        <v>12</v>
      </c>
      <c r="I1" s="31" t="s">
        <v>40</v>
      </c>
      <c r="J1" s="31" t="s">
        <v>230</v>
      </c>
      <c r="K1" s="31" t="s">
        <v>231</v>
      </c>
      <c r="L1" s="31" t="s">
        <v>90</v>
      </c>
      <c r="M1" s="31" t="s">
        <v>200</v>
      </c>
      <c r="N1" s="31" t="s">
        <v>201</v>
      </c>
      <c r="O1" s="31" t="s">
        <v>232</v>
      </c>
      <c r="P1" s="18" t="s">
        <v>233</v>
      </c>
      <c r="Q1" s="18" t="s">
        <v>234</v>
      </c>
      <c r="R1" s="18" t="s">
        <v>235</v>
      </c>
      <c r="S1" s="18" t="s">
        <v>236</v>
      </c>
      <c r="T1" s="18" t="s">
        <v>237</v>
      </c>
      <c r="U1" s="18" t="s">
        <v>238</v>
      </c>
    </row>
    <row r="2">
      <c r="A2" s="19" t="s">
        <v>211</v>
      </c>
      <c r="B2" s="19">
        <v>1892.0</v>
      </c>
      <c r="C2" s="19">
        <v>2.5</v>
      </c>
      <c r="D2" s="19">
        <v>3.0</v>
      </c>
      <c r="E2" s="19">
        <v>3.0</v>
      </c>
      <c r="F2" s="19">
        <v>1.5</v>
      </c>
      <c r="G2" s="19">
        <v>1.5</v>
      </c>
      <c r="H2" s="19">
        <v>0.4</v>
      </c>
      <c r="I2" s="19">
        <v>0.6</v>
      </c>
      <c r="J2" s="19">
        <v>2.0</v>
      </c>
      <c r="K2" s="19">
        <v>3.0</v>
      </c>
      <c r="L2" s="19">
        <v>20.0</v>
      </c>
      <c r="M2" s="19">
        <v>0.85</v>
      </c>
      <c r="N2" s="19">
        <v>1.05</v>
      </c>
      <c r="O2" s="19">
        <v>10.0</v>
      </c>
      <c r="P2" s="20" t="s">
        <v>239</v>
      </c>
      <c r="Q2" s="1" t="s">
        <v>240</v>
      </c>
      <c r="R2" s="19" t="s">
        <v>241</v>
      </c>
      <c r="S2" s="19">
        <v>1.0</v>
      </c>
      <c r="T2" s="19">
        <v>0.0</v>
      </c>
      <c r="U2" s="19">
        <v>0.0</v>
      </c>
    </row>
    <row r="3">
      <c r="A3" s="20" t="s">
        <v>213</v>
      </c>
      <c r="B3" s="20">
        <v>1893.0</v>
      </c>
      <c r="C3" s="20">
        <v>0.55</v>
      </c>
      <c r="D3" s="20">
        <v>0.43</v>
      </c>
      <c r="E3" s="20">
        <v>0.35</v>
      </c>
      <c r="F3" s="20">
        <v>0.25</v>
      </c>
      <c r="G3" s="20">
        <v>0.95</v>
      </c>
      <c r="H3" s="20">
        <v>0.7</v>
      </c>
      <c r="I3" s="20">
        <v>0.45</v>
      </c>
      <c r="J3" s="20">
        <v>1.3</v>
      </c>
      <c r="K3" s="20">
        <v>0.5</v>
      </c>
      <c r="L3" s="20">
        <v>0.55</v>
      </c>
      <c r="M3" s="20">
        <v>1.25</v>
      </c>
      <c r="N3" s="20">
        <v>1.0</v>
      </c>
      <c r="O3" s="20">
        <v>15.0</v>
      </c>
      <c r="P3" s="32" t="s">
        <v>242</v>
      </c>
      <c r="Q3" s="1" t="s">
        <v>243</v>
      </c>
      <c r="R3" s="1" t="s">
        <v>244</v>
      </c>
      <c r="S3" s="20">
        <v>2.0</v>
      </c>
      <c r="T3" s="20">
        <v>0.0</v>
      </c>
      <c r="U3" s="20">
        <v>0.0</v>
      </c>
    </row>
    <row r="4">
      <c r="A4" s="19" t="s">
        <v>215</v>
      </c>
      <c r="B4" s="19">
        <v>1895.0</v>
      </c>
      <c r="C4" s="19">
        <v>2.5</v>
      </c>
      <c r="D4" s="19">
        <v>2.5</v>
      </c>
      <c r="E4" s="19">
        <v>0.65</v>
      </c>
      <c r="F4" s="19">
        <v>0.65</v>
      </c>
      <c r="G4" s="19">
        <v>0.3</v>
      </c>
      <c r="H4" s="19">
        <v>0.15</v>
      </c>
      <c r="I4" s="19">
        <v>0.1</v>
      </c>
      <c r="J4" s="19">
        <v>1.0</v>
      </c>
      <c r="K4" s="19">
        <v>1.0</v>
      </c>
      <c r="L4" s="19">
        <v>1.6</v>
      </c>
      <c r="M4" s="19">
        <v>1.5</v>
      </c>
      <c r="N4" s="19">
        <v>1.1</v>
      </c>
      <c r="O4" s="19">
        <v>30.0</v>
      </c>
      <c r="P4" s="32" t="s">
        <v>245</v>
      </c>
      <c r="Q4" s="1" t="s">
        <v>243</v>
      </c>
      <c r="R4" s="1" t="s">
        <v>244</v>
      </c>
      <c r="S4" s="19">
        <v>2.0</v>
      </c>
      <c r="T4" s="19">
        <v>4.0</v>
      </c>
      <c r="U4" s="19">
        <v>0.0</v>
      </c>
    </row>
    <row r="5">
      <c r="A5" s="20" t="s">
        <v>214</v>
      </c>
      <c r="B5" s="20">
        <v>1891.0</v>
      </c>
      <c r="C5" s="20">
        <v>0.3</v>
      </c>
      <c r="D5" s="20">
        <v>0.25</v>
      </c>
      <c r="E5" s="20">
        <v>0.2</v>
      </c>
      <c r="F5" s="20">
        <v>0.15</v>
      </c>
      <c r="G5" s="20">
        <v>1.2</v>
      </c>
      <c r="H5" s="20">
        <v>0.65</v>
      </c>
      <c r="I5" s="20">
        <v>0.7</v>
      </c>
      <c r="J5" s="20">
        <v>1.0</v>
      </c>
      <c r="K5" s="20">
        <v>0.3</v>
      </c>
      <c r="L5" s="20">
        <v>0.6</v>
      </c>
      <c r="M5" s="20">
        <v>0.85</v>
      </c>
      <c r="N5" s="20">
        <v>1.2</v>
      </c>
      <c r="O5" s="20">
        <v>10.0</v>
      </c>
      <c r="P5" s="32" t="s">
        <v>246</v>
      </c>
      <c r="Q5" s="1" t="s">
        <v>243</v>
      </c>
      <c r="R5" s="1" t="s">
        <v>244</v>
      </c>
      <c r="S5" s="20">
        <v>2.0</v>
      </c>
      <c r="T5" s="20">
        <v>1.0</v>
      </c>
      <c r="U5" s="20">
        <v>0.0</v>
      </c>
    </row>
    <row r="6">
      <c r="A6" s="19" t="s">
        <v>217</v>
      </c>
      <c r="B6" s="19">
        <v>1898.0</v>
      </c>
      <c r="C6" s="19">
        <v>0.7</v>
      </c>
      <c r="D6" s="19">
        <v>0.5</v>
      </c>
      <c r="E6" s="19">
        <v>0.45</v>
      </c>
      <c r="F6" s="19">
        <v>0.45</v>
      </c>
      <c r="G6" s="19">
        <v>1.1</v>
      </c>
      <c r="H6" s="19">
        <v>0.8</v>
      </c>
      <c r="I6" s="19">
        <v>0.3</v>
      </c>
      <c r="J6" s="19">
        <v>1.0</v>
      </c>
      <c r="K6" s="19">
        <v>1.1</v>
      </c>
      <c r="L6" s="19">
        <v>0.5</v>
      </c>
      <c r="M6" s="19">
        <v>1.2</v>
      </c>
      <c r="N6" s="19">
        <v>0.3</v>
      </c>
      <c r="O6" s="19">
        <v>10.0</v>
      </c>
      <c r="P6" s="32" t="s">
        <v>247</v>
      </c>
      <c r="Q6" s="1" t="s">
        <v>243</v>
      </c>
      <c r="R6" s="1" t="s">
        <v>244</v>
      </c>
      <c r="S6" s="19">
        <v>3.0</v>
      </c>
      <c r="T6" s="19">
        <v>-1.0</v>
      </c>
      <c r="U6" s="19">
        <v>0.0</v>
      </c>
    </row>
    <row r="7">
      <c r="A7" s="20" t="s">
        <v>219</v>
      </c>
      <c r="B7" s="20">
        <v>1895.0</v>
      </c>
      <c r="C7" s="20">
        <v>0.7</v>
      </c>
      <c r="D7" s="20">
        <v>0.4</v>
      </c>
      <c r="E7" s="20">
        <v>0.4</v>
      </c>
      <c r="F7" s="20">
        <v>0.4</v>
      </c>
      <c r="G7" s="20">
        <v>1.2</v>
      </c>
      <c r="H7" s="20">
        <v>0.8</v>
      </c>
      <c r="I7" s="20">
        <v>0.2</v>
      </c>
      <c r="J7" s="20">
        <v>1.1</v>
      </c>
      <c r="K7" s="20">
        <v>1.0</v>
      </c>
      <c r="L7" s="20">
        <v>0.5</v>
      </c>
      <c r="M7" s="20">
        <v>1.2</v>
      </c>
      <c r="N7" s="20">
        <v>0.3</v>
      </c>
      <c r="O7" s="20">
        <v>10.0</v>
      </c>
      <c r="P7" s="32" t="s">
        <v>247</v>
      </c>
      <c r="Q7" s="1" t="s">
        <v>243</v>
      </c>
      <c r="R7" s="1" t="s">
        <v>244</v>
      </c>
      <c r="S7" s="20">
        <v>3.0</v>
      </c>
      <c r="T7" s="20">
        <v>-1.0</v>
      </c>
      <c r="U7" s="20">
        <v>0.0</v>
      </c>
    </row>
    <row r="8">
      <c r="A8" s="19" t="s">
        <v>218</v>
      </c>
      <c r="B8" s="19">
        <v>1890.0</v>
      </c>
      <c r="C8" s="19">
        <v>0.25</v>
      </c>
      <c r="D8" s="19">
        <v>0.1</v>
      </c>
      <c r="E8" s="19">
        <v>0.15</v>
      </c>
      <c r="F8" s="19">
        <v>0.15</v>
      </c>
      <c r="G8" s="19">
        <v>1.0</v>
      </c>
      <c r="H8" s="19">
        <v>0.25</v>
      </c>
      <c r="I8" s="19">
        <v>0.8</v>
      </c>
      <c r="J8" s="19">
        <v>-1.0</v>
      </c>
      <c r="K8" s="19">
        <v>0.15</v>
      </c>
      <c r="L8" s="19">
        <v>0.1</v>
      </c>
      <c r="M8" s="19">
        <v>0.65</v>
      </c>
      <c r="N8" s="19">
        <v>0.65</v>
      </c>
      <c r="O8" s="19">
        <v>0.0</v>
      </c>
      <c r="P8" s="20" t="s">
        <v>248</v>
      </c>
      <c r="Q8" s="1" t="s">
        <v>243</v>
      </c>
      <c r="R8" s="1" t="s">
        <v>244</v>
      </c>
      <c r="S8" s="19">
        <v>2.0</v>
      </c>
      <c r="T8" s="19">
        <v>0.0</v>
      </c>
      <c r="U8" s="19">
        <v>0.0</v>
      </c>
    </row>
    <row r="9">
      <c r="A9" s="20" t="s">
        <v>221</v>
      </c>
      <c r="B9" s="20">
        <v>1870.0</v>
      </c>
      <c r="C9" s="20">
        <v>0.22</v>
      </c>
      <c r="D9" s="20">
        <v>0.1</v>
      </c>
      <c r="E9" s="20">
        <v>0.1</v>
      </c>
      <c r="F9" s="20">
        <v>0.15</v>
      </c>
      <c r="G9" s="20">
        <v>0.6</v>
      </c>
      <c r="H9" s="20">
        <v>0.8</v>
      </c>
      <c r="I9" s="20">
        <v>0.05</v>
      </c>
      <c r="J9" s="20">
        <v>2.0</v>
      </c>
      <c r="K9" s="20">
        <v>1.0</v>
      </c>
      <c r="L9" s="20">
        <v>2.5</v>
      </c>
      <c r="M9" s="20">
        <v>1.5</v>
      </c>
      <c r="N9" s="20">
        <v>1.5</v>
      </c>
      <c r="O9" s="20">
        <v>10.0</v>
      </c>
      <c r="P9" s="20" t="s">
        <v>249</v>
      </c>
      <c r="Q9" s="20" t="s">
        <v>250</v>
      </c>
      <c r="R9" s="1" t="s">
        <v>244</v>
      </c>
      <c r="S9" s="20">
        <v>1.0</v>
      </c>
      <c r="T9" s="20">
        <v>0.0</v>
      </c>
      <c r="U9" s="20">
        <v>0.0</v>
      </c>
    </row>
    <row r="10">
      <c r="A10" s="19" t="s">
        <v>216</v>
      </c>
      <c r="B10" s="19">
        <v>1894.0</v>
      </c>
      <c r="C10" s="19">
        <v>0.75</v>
      </c>
      <c r="D10" s="19">
        <v>0.65</v>
      </c>
      <c r="E10" s="19">
        <v>0.4</v>
      </c>
      <c r="F10" s="19">
        <v>0.4</v>
      </c>
      <c r="G10" s="19">
        <v>0.4</v>
      </c>
      <c r="H10" s="19">
        <v>0.6</v>
      </c>
      <c r="I10" s="19">
        <v>0.35</v>
      </c>
      <c r="J10" s="19">
        <v>0.75</v>
      </c>
      <c r="K10" s="19">
        <v>0.6</v>
      </c>
      <c r="L10" s="19">
        <v>1.25</v>
      </c>
      <c r="M10" s="19">
        <v>1.8</v>
      </c>
      <c r="N10" s="19">
        <v>1.2</v>
      </c>
      <c r="O10" s="19">
        <v>50.0</v>
      </c>
      <c r="P10" s="32" t="s">
        <v>251</v>
      </c>
      <c r="Q10" s="1" t="s">
        <v>243</v>
      </c>
      <c r="R10" s="1" t="s">
        <v>244</v>
      </c>
      <c r="S10" s="19">
        <v>2.0</v>
      </c>
      <c r="T10" s="19">
        <v>0.0</v>
      </c>
      <c r="U10" s="19">
        <v>0.0</v>
      </c>
    </row>
    <row r="11">
      <c r="A11" s="20" t="s">
        <v>212</v>
      </c>
      <c r="B11" s="20">
        <v>1892.0</v>
      </c>
      <c r="C11" s="20">
        <v>0.4</v>
      </c>
      <c r="D11" s="20">
        <v>0.35</v>
      </c>
      <c r="E11" s="20">
        <v>0.3</v>
      </c>
      <c r="F11" s="20">
        <v>0.35</v>
      </c>
      <c r="G11" s="20">
        <v>1.0</v>
      </c>
      <c r="H11" s="20">
        <v>0.75</v>
      </c>
      <c r="I11" s="20">
        <v>0.5</v>
      </c>
      <c r="J11" s="20">
        <v>0.7</v>
      </c>
      <c r="K11" s="20">
        <v>0.4</v>
      </c>
      <c r="L11" s="20">
        <v>0.6</v>
      </c>
      <c r="M11" s="20">
        <v>0.9</v>
      </c>
      <c r="N11" s="20">
        <v>0.85</v>
      </c>
      <c r="O11" s="20">
        <v>15.0</v>
      </c>
      <c r="P11" s="32" t="s">
        <v>252</v>
      </c>
      <c r="Q11" s="1" t="s">
        <v>243</v>
      </c>
      <c r="R11" s="1" t="s">
        <v>244</v>
      </c>
      <c r="S11" s="20">
        <v>2.0</v>
      </c>
      <c r="T11" s="20">
        <v>0.0</v>
      </c>
      <c r="U11" s="20">
        <v>0.0</v>
      </c>
    </row>
    <row r="12">
      <c r="A12" s="19" t="s">
        <v>223</v>
      </c>
      <c r="B12" s="19">
        <v>1995.0</v>
      </c>
      <c r="C12" s="19">
        <v>2.3</v>
      </c>
      <c r="D12" s="19">
        <v>2.9</v>
      </c>
      <c r="E12" s="19">
        <v>0.7</v>
      </c>
      <c r="F12" s="19">
        <v>0.7</v>
      </c>
      <c r="G12" s="19">
        <v>0.55</v>
      </c>
      <c r="H12" s="19">
        <v>1.0</v>
      </c>
      <c r="I12" s="19">
        <v>0.2</v>
      </c>
      <c r="J12" s="19">
        <v>0.45</v>
      </c>
      <c r="K12" s="19">
        <v>1.0</v>
      </c>
      <c r="L12" s="19">
        <v>1.5</v>
      </c>
      <c r="M12" s="19">
        <v>1.85</v>
      </c>
      <c r="N12" s="19">
        <v>0.85</v>
      </c>
      <c r="O12" s="19">
        <v>70.0</v>
      </c>
      <c r="P12" s="32" t="s">
        <v>253</v>
      </c>
      <c r="Q12" s="1" t="s">
        <v>243</v>
      </c>
      <c r="R12" s="1" t="s">
        <v>244</v>
      </c>
      <c r="S12" s="19">
        <v>2.0</v>
      </c>
      <c r="T12" s="19">
        <v>4.0</v>
      </c>
      <c r="U12" s="19">
        <v>0.0</v>
      </c>
    </row>
    <row r="13">
      <c r="A13" s="20" t="s">
        <v>220</v>
      </c>
      <c r="B13" s="20">
        <v>1903.0</v>
      </c>
      <c r="C13" s="20">
        <v>2.1</v>
      </c>
      <c r="D13" s="20">
        <v>2.0</v>
      </c>
      <c r="E13" s="20">
        <v>1.0</v>
      </c>
      <c r="F13" s="20">
        <v>0.75</v>
      </c>
      <c r="G13" s="20">
        <v>0.9</v>
      </c>
      <c r="H13" s="20">
        <v>1.0</v>
      </c>
      <c r="I13" s="20">
        <v>0.35</v>
      </c>
      <c r="J13" s="20">
        <v>0.9</v>
      </c>
      <c r="K13" s="20">
        <v>1.0</v>
      </c>
      <c r="L13" s="20">
        <v>1.5</v>
      </c>
      <c r="M13" s="20">
        <v>1.3</v>
      </c>
      <c r="N13" s="20">
        <v>0.85</v>
      </c>
      <c r="O13" s="20">
        <v>40.0</v>
      </c>
      <c r="P13" s="32" t="s">
        <v>254</v>
      </c>
      <c r="Q13" s="1" t="s">
        <v>243</v>
      </c>
      <c r="R13" s="1" t="s">
        <v>244</v>
      </c>
      <c r="S13" s="20">
        <v>2.0</v>
      </c>
      <c r="T13" s="20">
        <v>3.0</v>
      </c>
      <c r="U13" s="20">
        <v>0.0</v>
      </c>
    </row>
    <row r="14">
      <c r="A14" s="19" t="s">
        <v>224</v>
      </c>
      <c r="B14" s="19">
        <v>1947.0</v>
      </c>
      <c r="C14" s="19">
        <v>1.0</v>
      </c>
      <c r="D14" s="19">
        <v>0.5</v>
      </c>
      <c r="E14" s="19">
        <v>0.5</v>
      </c>
      <c r="F14" s="19">
        <v>0.5</v>
      </c>
      <c r="G14" s="19">
        <v>0.75</v>
      </c>
      <c r="H14" s="19">
        <v>0.35</v>
      </c>
      <c r="I14" s="19">
        <v>0.45</v>
      </c>
      <c r="J14" s="19">
        <v>1.2</v>
      </c>
      <c r="K14" s="19">
        <v>0.45</v>
      </c>
      <c r="L14" s="19">
        <v>0.35</v>
      </c>
      <c r="M14" s="19">
        <v>0.7</v>
      </c>
      <c r="N14" s="19">
        <v>0.6</v>
      </c>
      <c r="O14" s="19">
        <v>60.0</v>
      </c>
      <c r="P14" s="20" t="s">
        <v>255</v>
      </c>
      <c r="Q14" s="1" t="s">
        <v>256</v>
      </c>
      <c r="R14" s="1" t="s">
        <v>244</v>
      </c>
      <c r="S14" s="19">
        <v>1.0</v>
      </c>
      <c r="T14" s="19">
        <v>0.0</v>
      </c>
      <c r="U14" s="19">
        <v>1.0</v>
      </c>
    </row>
    <row r="15">
      <c r="A15" s="20" t="s">
        <v>222</v>
      </c>
      <c r="B15" s="20">
        <v>1905.0</v>
      </c>
      <c r="C15" s="20">
        <v>2.4</v>
      </c>
      <c r="D15" s="20">
        <v>2.0</v>
      </c>
      <c r="E15" s="20">
        <v>0.8</v>
      </c>
      <c r="F15" s="20">
        <v>0.8</v>
      </c>
      <c r="G15" s="20">
        <v>0.25</v>
      </c>
      <c r="H15" s="20">
        <v>0.8</v>
      </c>
      <c r="I15" s="20">
        <v>0.15</v>
      </c>
      <c r="J15" s="20">
        <v>0.9</v>
      </c>
      <c r="K15" s="20">
        <v>1.0</v>
      </c>
      <c r="L15" s="20">
        <v>1.6</v>
      </c>
      <c r="M15" s="20">
        <v>1.2</v>
      </c>
      <c r="N15" s="20">
        <v>0.95</v>
      </c>
      <c r="O15" s="20">
        <v>35.0</v>
      </c>
      <c r="P15" s="32" t="s">
        <v>245</v>
      </c>
      <c r="Q15" s="1" t="s">
        <v>243</v>
      </c>
      <c r="R15" s="1" t="s">
        <v>244</v>
      </c>
      <c r="S15" s="20">
        <v>2.0</v>
      </c>
      <c r="T15" s="20">
        <v>4.0</v>
      </c>
      <c r="U15" s="20">
        <v>0.0</v>
      </c>
    </row>
    <row r="16">
      <c r="P16" s="32"/>
    </row>
    <row r="17">
      <c r="C17" s="19"/>
      <c r="D17" s="19"/>
      <c r="E17" s="19"/>
      <c r="F17" s="19"/>
      <c r="G17" s="19"/>
      <c r="P17" s="32"/>
      <c r="Q17" s="32"/>
    </row>
    <row r="18">
      <c r="C18" s="20"/>
      <c r="D18" s="20"/>
      <c r="E18" s="20"/>
      <c r="F18" s="20"/>
      <c r="G18" s="20"/>
      <c r="P18" s="32"/>
      <c r="Q18" s="32"/>
    </row>
    <row r="19">
      <c r="C19" s="19"/>
      <c r="D19" s="19"/>
      <c r="E19" s="19"/>
      <c r="F19" s="19"/>
      <c r="G19" s="19"/>
      <c r="P19" s="32"/>
    </row>
    <row r="20">
      <c r="C20" s="20"/>
      <c r="D20" s="20"/>
      <c r="E20" s="20"/>
      <c r="F20" s="20"/>
      <c r="G20" s="20"/>
    </row>
    <row r="21">
      <c r="C21" s="19"/>
      <c r="D21" s="19"/>
      <c r="E21" s="19"/>
      <c r="F21" s="19"/>
      <c r="G21" s="19"/>
    </row>
    <row r="22">
      <c r="C22" s="20"/>
      <c r="D22" s="20"/>
      <c r="E22" s="20"/>
      <c r="F22" s="20"/>
      <c r="G22" s="20"/>
    </row>
    <row r="23">
      <c r="C23" s="19"/>
      <c r="D23" s="19"/>
      <c r="E23" s="19"/>
      <c r="F23" s="19"/>
      <c r="G23" s="19"/>
    </row>
    <row r="24">
      <c r="C24" s="20"/>
      <c r="D24" s="20"/>
      <c r="E24" s="20"/>
      <c r="F24" s="20"/>
      <c r="G24" s="20"/>
    </row>
    <row r="25">
      <c r="C25" s="19"/>
      <c r="D25" s="19"/>
      <c r="E25" s="19"/>
      <c r="F25" s="19"/>
      <c r="G25" s="19"/>
    </row>
    <row r="26">
      <c r="C26" s="20"/>
      <c r="D26" s="20"/>
      <c r="E26" s="20"/>
      <c r="F26" s="20"/>
      <c r="G26" s="20"/>
    </row>
    <row r="27">
      <c r="C27" s="19"/>
      <c r="D27" s="19"/>
      <c r="E27" s="19"/>
      <c r="F27" s="19"/>
      <c r="G27" s="19"/>
    </row>
    <row r="28">
      <c r="C28" s="20"/>
      <c r="D28" s="20"/>
      <c r="E28" s="20"/>
      <c r="F28" s="20"/>
      <c r="G28" s="20"/>
    </row>
    <row r="29">
      <c r="C29" s="19"/>
      <c r="D29" s="19"/>
      <c r="E29" s="19"/>
      <c r="F29" s="19"/>
      <c r="G29" s="19"/>
    </row>
    <row r="30">
      <c r="C30" s="20"/>
      <c r="D30" s="20"/>
      <c r="E30" s="20"/>
      <c r="F30" s="20"/>
      <c r="G30" s="2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4.63"/>
    <col customWidth="1" min="16" max="16" width="20.13"/>
  </cols>
  <sheetData>
    <row r="1">
      <c r="A1" s="18" t="s">
        <v>199</v>
      </c>
      <c r="B1" s="18" t="s">
        <v>204</v>
      </c>
      <c r="C1" s="18" t="s">
        <v>257</v>
      </c>
      <c r="D1" s="18" t="s">
        <v>225</v>
      </c>
      <c r="E1" s="18" t="s">
        <v>258</v>
      </c>
      <c r="F1" s="18" t="s">
        <v>259</v>
      </c>
      <c r="G1" s="18" t="s">
        <v>231</v>
      </c>
      <c r="H1" s="18" t="s">
        <v>232</v>
      </c>
      <c r="I1" s="18" t="s">
        <v>12</v>
      </c>
      <c r="J1" s="18" t="s">
        <v>40</v>
      </c>
      <c r="K1" s="18" t="s">
        <v>229</v>
      </c>
      <c r="L1" s="18" t="s">
        <v>90</v>
      </c>
      <c r="M1" s="18" t="s">
        <v>260</v>
      </c>
      <c r="N1" s="18" t="s">
        <v>183</v>
      </c>
      <c r="O1" s="18"/>
      <c r="P1" s="18"/>
      <c r="Q1" s="18"/>
      <c r="R1" s="18"/>
      <c r="S1" s="18"/>
      <c r="T1" s="18"/>
    </row>
    <row r="2">
      <c r="A2" s="33" t="s">
        <v>221</v>
      </c>
      <c r="B2" s="19">
        <v>1890.0</v>
      </c>
      <c r="C2" s="19">
        <v>0.2</v>
      </c>
      <c r="D2" s="19">
        <v>0.2</v>
      </c>
      <c r="E2" s="19">
        <v>0.2</v>
      </c>
      <c r="F2" s="19">
        <v>0.2</v>
      </c>
      <c r="G2" s="19">
        <v>1.0</v>
      </c>
      <c r="H2" s="19">
        <v>0.0</v>
      </c>
      <c r="I2" s="19">
        <v>0.1</v>
      </c>
      <c r="J2" s="19">
        <v>0.3</v>
      </c>
      <c r="K2" s="19">
        <v>1.0</v>
      </c>
      <c r="L2" s="19">
        <v>1.8</v>
      </c>
      <c r="M2" s="19">
        <v>2.0</v>
      </c>
      <c r="N2" s="19">
        <v>1.2</v>
      </c>
      <c r="O2" s="20"/>
      <c r="Q2" s="19"/>
      <c r="R2" s="19"/>
      <c r="S2" s="19"/>
      <c r="T2" s="19"/>
    </row>
    <row r="3">
      <c r="A3" s="34" t="s">
        <v>211</v>
      </c>
      <c r="B3" s="20">
        <v>1890.0</v>
      </c>
      <c r="C3" s="20">
        <v>2.0</v>
      </c>
      <c r="D3" s="20">
        <v>2.0</v>
      </c>
      <c r="E3" s="20">
        <v>3.0</v>
      </c>
      <c r="F3" s="20">
        <v>1.5</v>
      </c>
      <c r="G3" s="20">
        <v>3.0</v>
      </c>
      <c r="H3" s="20">
        <v>0.0</v>
      </c>
      <c r="I3" s="20">
        <v>1.0</v>
      </c>
      <c r="J3" s="20">
        <v>0.75</v>
      </c>
      <c r="K3" s="20">
        <v>1.5</v>
      </c>
      <c r="L3" s="20">
        <v>20.0</v>
      </c>
      <c r="M3" s="20">
        <v>4.0</v>
      </c>
      <c r="N3" s="20">
        <v>1.5</v>
      </c>
      <c r="O3" s="32"/>
      <c r="R3" s="20"/>
      <c r="S3" s="20"/>
      <c r="T3" s="20"/>
    </row>
    <row r="4">
      <c r="A4" s="33" t="s">
        <v>261</v>
      </c>
      <c r="B4" s="19">
        <v>1890.0</v>
      </c>
      <c r="C4" s="19">
        <v>0.8</v>
      </c>
      <c r="D4" s="19">
        <v>0.5</v>
      </c>
      <c r="E4" s="19">
        <v>0.75</v>
      </c>
      <c r="F4" s="19">
        <v>0.75</v>
      </c>
      <c r="G4" s="19">
        <v>1.2</v>
      </c>
      <c r="H4" s="19">
        <v>0.0</v>
      </c>
      <c r="I4" s="19">
        <v>0.6</v>
      </c>
      <c r="J4" s="19">
        <v>0.7</v>
      </c>
      <c r="K4" s="19">
        <v>0.8</v>
      </c>
      <c r="L4" s="19">
        <v>0.3</v>
      </c>
      <c r="M4" s="19">
        <v>4.0</v>
      </c>
      <c r="N4" s="19">
        <v>1.0</v>
      </c>
      <c r="O4" s="32"/>
      <c r="R4" s="19"/>
      <c r="S4" s="19"/>
      <c r="T4" s="19"/>
    </row>
    <row r="5">
      <c r="A5" s="20" t="s">
        <v>262</v>
      </c>
      <c r="B5" s="20">
        <v>1890.0</v>
      </c>
      <c r="C5" s="20">
        <v>0.1</v>
      </c>
      <c r="D5" s="20">
        <v>0.1</v>
      </c>
      <c r="E5" s="20">
        <v>0.1</v>
      </c>
      <c r="F5" s="20">
        <v>0.1</v>
      </c>
      <c r="G5" s="20">
        <v>0.1</v>
      </c>
      <c r="H5" s="20">
        <v>0.0</v>
      </c>
      <c r="I5" s="20">
        <v>0.1</v>
      </c>
      <c r="J5" s="20">
        <v>1.0</v>
      </c>
      <c r="K5" s="20">
        <v>1.0</v>
      </c>
      <c r="L5" s="20">
        <v>0.1</v>
      </c>
      <c r="M5" s="20">
        <v>1.0</v>
      </c>
      <c r="N5" s="20">
        <v>-1.0</v>
      </c>
      <c r="O5" s="32"/>
      <c r="R5" s="20"/>
      <c r="S5" s="20"/>
      <c r="T5" s="20"/>
    </row>
    <row r="6">
      <c r="A6" s="19">
        <v>2.0</v>
      </c>
      <c r="B6" s="19">
        <v>1890.0</v>
      </c>
      <c r="C6" s="19">
        <v>0.15</v>
      </c>
      <c r="D6" s="19">
        <v>0.15</v>
      </c>
      <c r="E6" s="19">
        <v>0.15</v>
      </c>
      <c r="F6" s="19">
        <v>0.15</v>
      </c>
      <c r="G6" s="19">
        <v>0.12</v>
      </c>
      <c r="H6" s="19">
        <v>0.0</v>
      </c>
      <c r="I6" s="19">
        <v>0.15</v>
      </c>
      <c r="J6" s="19">
        <v>1.2</v>
      </c>
      <c r="K6" s="19">
        <v>1.03</v>
      </c>
      <c r="L6" s="19">
        <v>0.2</v>
      </c>
      <c r="M6" s="19">
        <v>2.0</v>
      </c>
      <c r="N6" s="19">
        <v>0.0</v>
      </c>
      <c r="O6" s="32"/>
      <c r="R6" s="19"/>
      <c r="S6" s="19"/>
      <c r="T6" s="19"/>
    </row>
    <row r="7">
      <c r="A7" s="20">
        <v>3.0</v>
      </c>
      <c r="B7" s="20">
        <v>1890.0</v>
      </c>
      <c r="C7" s="20">
        <v>0.2</v>
      </c>
      <c r="D7" s="20">
        <v>0.2</v>
      </c>
      <c r="E7" s="20">
        <v>0.2</v>
      </c>
      <c r="F7" s="20">
        <v>0.2</v>
      </c>
      <c r="G7" s="20">
        <v>0.15</v>
      </c>
      <c r="H7" s="20">
        <v>0.0</v>
      </c>
      <c r="I7" s="20">
        <v>0.25</v>
      </c>
      <c r="J7" s="20">
        <v>1.1</v>
      </c>
      <c r="K7" s="20">
        <v>1.04</v>
      </c>
      <c r="L7" s="20">
        <v>0.3</v>
      </c>
      <c r="M7" s="20">
        <v>3.0</v>
      </c>
      <c r="N7" s="20">
        <v>0.22</v>
      </c>
      <c r="O7" s="32"/>
      <c r="R7" s="20"/>
      <c r="S7" s="20"/>
      <c r="T7" s="20"/>
    </row>
    <row r="8">
      <c r="A8" s="19">
        <v>4.0</v>
      </c>
      <c r="B8" s="19">
        <v>1890.0</v>
      </c>
      <c r="C8" s="19">
        <v>0.25</v>
      </c>
      <c r="D8" s="19">
        <v>0.25</v>
      </c>
      <c r="E8" s="19">
        <v>0.25</v>
      </c>
      <c r="F8" s="19">
        <v>0.25</v>
      </c>
      <c r="G8" s="19">
        <v>0.18</v>
      </c>
      <c r="H8" s="19">
        <v>0.0</v>
      </c>
      <c r="I8" s="19">
        <v>0.4</v>
      </c>
      <c r="J8" s="19">
        <v>1.0</v>
      </c>
      <c r="K8" s="19">
        <v>1.05</v>
      </c>
      <c r="L8" s="19">
        <v>0.4</v>
      </c>
      <c r="M8" s="19">
        <v>4.0</v>
      </c>
      <c r="N8" s="19">
        <v>0.5</v>
      </c>
      <c r="O8" s="20"/>
      <c r="R8" s="19"/>
      <c r="S8" s="19"/>
      <c r="T8" s="19"/>
    </row>
    <row r="9">
      <c r="A9" s="20">
        <v>5.0</v>
      </c>
      <c r="B9" s="20">
        <v>1890.0</v>
      </c>
      <c r="C9" s="20">
        <v>0.3</v>
      </c>
      <c r="D9" s="20">
        <v>0.3</v>
      </c>
      <c r="E9" s="20">
        <v>0.3</v>
      </c>
      <c r="F9" s="20">
        <v>0.3</v>
      </c>
      <c r="G9" s="20">
        <v>0.22</v>
      </c>
      <c r="H9" s="20">
        <v>10.0</v>
      </c>
      <c r="I9" s="20">
        <v>0.55</v>
      </c>
      <c r="J9" s="20">
        <v>0.95</v>
      </c>
      <c r="K9" s="20">
        <v>1.03</v>
      </c>
      <c r="L9" s="20">
        <v>0.5</v>
      </c>
      <c r="M9" s="20">
        <v>5.0</v>
      </c>
      <c r="N9" s="20">
        <v>0.7</v>
      </c>
      <c r="O9" s="20"/>
      <c r="P9" s="20"/>
      <c r="R9" s="20"/>
      <c r="S9" s="20"/>
      <c r="T9" s="20"/>
    </row>
    <row r="10">
      <c r="A10" s="19">
        <v>6.0</v>
      </c>
      <c r="B10" s="19">
        <v>1890.0</v>
      </c>
      <c r="C10" s="19">
        <v>0.35</v>
      </c>
      <c r="D10" s="19">
        <v>0.35</v>
      </c>
      <c r="E10" s="19">
        <v>0.35</v>
      </c>
      <c r="F10" s="19">
        <v>0.35</v>
      </c>
      <c r="G10" s="19">
        <v>0.27</v>
      </c>
      <c r="H10" s="19">
        <v>10.0</v>
      </c>
      <c r="I10" s="19">
        <v>0.75</v>
      </c>
      <c r="J10" s="19">
        <v>0.85</v>
      </c>
      <c r="K10" s="19">
        <v>1.0</v>
      </c>
      <c r="L10" s="19">
        <v>0.6</v>
      </c>
      <c r="M10" s="19">
        <v>6.0</v>
      </c>
      <c r="N10" s="19">
        <v>0.85</v>
      </c>
      <c r="O10" s="32"/>
      <c r="R10" s="19"/>
      <c r="S10" s="19"/>
      <c r="T10" s="19"/>
    </row>
    <row r="11">
      <c r="A11" s="20">
        <v>7.0</v>
      </c>
      <c r="B11" s="20">
        <v>1890.0</v>
      </c>
      <c r="C11" s="20">
        <v>0.4</v>
      </c>
      <c r="D11" s="20">
        <v>0.4</v>
      </c>
      <c r="E11" s="20">
        <v>0.4</v>
      </c>
      <c r="F11" s="20">
        <v>0.4</v>
      </c>
      <c r="G11" s="20">
        <v>0.33</v>
      </c>
      <c r="H11" s="20">
        <v>20.0</v>
      </c>
      <c r="I11" s="20">
        <v>0.85</v>
      </c>
      <c r="J11" s="20">
        <v>0.8</v>
      </c>
      <c r="K11" s="20">
        <v>1.0</v>
      </c>
      <c r="L11" s="20">
        <v>0.7</v>
      </c>
      <c r="M11" s="20">
        <v>7.0</v>
      </c>
      <c r="N11" s="20">
        <v>0.9</v>
      </c>
      <c r="O11" s="32"/>
      <c r="R11" s="20"/>
      <c r="S11" s="20"/>
      <c r="T11" s="20"/>
    </row>
    <row r="12">
      <c r="A12" s="19">
        <v>8.0</v>
      </c>
      <c r="B12" s="19">
        <v>1890.0</v>
      </c>
      <c r="C12" s="19">
        <v>0.45</v>
      </c>
      <c r="D12" s="19">
        <v>0.45</v>
      </c>
      <c r="E12" s="19">
        <v>0.45</v>
      </c>
      <c r="F12" s="19">
        <v>0.5</v>
      </c>
      <c r="G12" s="19">
        <v>0.4</v>
      </c>
      <c r="H12" s="19">
        <v>20.0</v>
      </c>
      <c r="I12" s="19">
        <v>1.0</v>
      </c>
      <c r="J12" s="19">
        <v>0.75</v>
      </c>
      <c r="K12" s="19">
        <v>1.0</v>
      </c>
      <c r="L12" s="19">
        <v>0.8</v>
      </c>
      <c r="M12" s="19">
        <v>8.0</v>
      </c>
      <c r="N12" s="19">
        <v>1.0</v>
      </c>
      <c r="O12" s="32"/>
      <c r="R12" s="19"/>
      <c r="S12" s="19"/>
      <c r="T12" s="19"/>
    </row>
    <row r="13">
      <c r="A13" s="20">
        <v>9.0</v>
      </c>
      <c r="B13" s="20">
        <v>1890.0</v>
      </c>
      <c r="C13" s="20">
        <v>0.5</v>
      </c>
      <c r="D13" s="20">
        <v>0.5</v>
      </c>
      <c r="E13" s="20">
        <v>0.5</v>
      </c>
      <c r="F13" s="20">
        <v>0.5</v>
      </c>
      <c r="G13" s="20">
        <v>0.48</v>
      </c>
      <c r="H13" s="20">
        <v>30.0</v>
      </c>
      <c r="I13" s="20">
        <v>1.25</v>
      </c>
      <c r="J13" s="20">
        <v>0.7</v>
      </c>
      <c r="K13" s="20">
        <v>0.8</v>
      </c>
      <c r="L13" s="20">
        <v>0.9</v>
      </c>
      <c r="M13" s="20">
        <v>9.0</v>
      </c>
      <c r="N13" s="20">
        <v>0.8</v>
      </c>
      <c r="O13" s="32"/>
      <c r="R13" s="20"/>
      <c r="S13" s="20"/>
      <c r="T13" s="20"/>
    </row>
    <row r="14">
      <c r="A14" s="19">
        <v>10.0</v>
      </c>
      <c r="B14" s="19">
        <v>1900.0</v>
      </c>
      <c r="C14" s="19">
        <v>0.6</v>
      </c>
      <c r="D14" s="19">
        <v>0.6</v>
      </c>
      <c r="E14" s="19">
        <v>0.6</v>
      </c>
      <c r="F14" s="19">
        <v>1.4</v>
      </c>
      <c r="G14" s="19">
        <v>0.57</v>
      </c>
      <c r="H14" s="19">
        <v>35.0</v>
      </c>
      <c r="I14" s="19">
        <v>1.5</v>
      </c>
      <c r="J14" s="19">
        <v>0.7</v>
      </c>
      <c r="K14" s="19">
        <v>0.65</v>
      </c>
      <c r="L14" s="19">
        <v>1.0</v>
      </c>
      <c r="M14" s="19">
        <v>10.0</v>
      </c>
      <c r="N14" s="19">
        <v>1.2</v>
      </c>
      <c r="O14" s="20"/>
      <c r="R14" s="19"/>
      <c r="S14" s="19"/>
      <c r="T14" s="19"/>
    </row>
    <row r="15">
      <c r="A15" s="20">
        <v>12.0</v>
      </c>
      <c r="B15" s="20">
        <v>1902.0</v>
      </c>
      <c r="C15" s="20">
        <v>0.7</v>
      </c>
      <c r="D15" s="20">
        <v>0.7</v>
      </c>
      <c r="E15" s="20">
        <v>0.7</v>
      </c>
      <c r="F15" s="20">
        <v>1.2</v>
      </c>
      <c r="G15" s="20">
        <v>0.67</v>
      </c>
      <c r="H15" s="20">
        <v>40.0</v>
      </c>
      <c r="I15" s="20">
        <v>1.6</v>
      </c>
      <c r="J15" s="20">
        <v>0.6</v>
      </c>
      <c r="K15" s="20">
        <v>0.5</v>
      </c>
      <c r="L15" s="20">
        <v>1.2</v>
      </c>
      <c r="M15" s="20">
        <v>12.0</v>
      </c>
      <c r="N15" s="20">
        <v>1.8</v>
      </c>
      <c r="O15" s="32"/>
      <c r="R15" s="20"/>
      <c r="S15" s="20"/>
      <c r="T15" s="20"/>
    </row>
    <row r="16">
      <c r="A16" s="19">
        <v>15.0</v>
      </c>
      <c r="B16" s="19">
        <v>1904.0</v>
      </c>
      <c r="C16" s="19">
        <v>0.8</v>
      </c>
      <c r="D16" s="19">
        <v>0.8</v>
      </c>
      <c r="E16" s="19">
        <v>0.8</v>
      </c>
      <c r="F16" s="19">
        <v>0.8</v>
      </c>
      <c r="G16" s="19">
        <v>0.78</v>
      </c>
      <c r="H16" s="19">
        <v>50.0</v>
      </c>
      <c r="I16" s="19">
        <v>1.75</v>
      </c>
      <c r="J16" s="19">
        <v>0.5</v>
      </c>
      <c r="K16" s="19">
        <v>0.45</v>
      </c>
      <c r="L16" s="19">
        <v>1.5</v>
      </c>
      <c r="M16" s="19">
        <v>15.0</v>
      </c>
      <c r="N16" s="19">
        <v>0.8</v>
      </c>
      <c r="O16" s="32"/>
    </row>
    <row r="17">
      <c r="A17" s="20">
        <v>16.0</v>
      </c>
      <c r="B17" s="20">
        <v>1906.0</v>
      </c>
      <c r="C17" s="20">
        <v>0.9</v>
      </c>
      <c r="D17" s="20">
        <v>0.9</v>
      </c>
      <c r="E17" s="20">
        <v>0.9</v>
      </c>
      <c r="F17" s="20">
        <v>1.9</v>
      </c>
      <c r="G17" s="20">
        <v>0.9</v>
      </c>
      <c r="H17" s="20">
        <v>55.0</v>
      </c>
      <c r="I17" s="20">
        <v>1.8</v>
      </c>
      <c r="J17" s="20">
        <v>0.4</v>
      </c>
      <c r="K17" s="20">
        <v>0.4</v>
      </c>
      <c r="L17" s="20">
        <v>1.6</v>
      </c>
      <c r="M17" s="20">
        <v>16.0</v>
      </c>
      <c r="N17" s="20">
        <v>1.0</v>
      </c>
      <c r="O17" s="32"/>
      <c r="P17" s="32"/>
    </row>
    <row r="18">
      <c r="A18" s="26">
        <v>18.0</v>
      </c>
      <c r="B18" s="26">
        <v>1920.0</v>
      </c>
      <c r="C18" s="26">
        <v>1.0</v>
      </c>
      <c r="D18" s="26">
        <v>1.0</v>
      </c>
      <c r="E18" s="26">
        <v>1.0</v>
      </c>
      <c r="F18" s="26">
        <v>1.0</v>
      </c>
      <c r="G18" s="26">
        <v>1.0</v>
      </c>
      <c r="H18" s="26">
        <v>70.0</v>
      </c>
      <c r="I18" s="19">
        <v>2.0</v>
      </c>
      <c r="J18" s="19">
        <v>0.3</v>
      </c>
      <c r="K18" s="19">
        <v>0.3</v>
      </c>
      <c r="L18" s="19">
        <v>1.8</v>
      </c>
      <c r="M18" s="19">
        <v>18.0</v>
      </c>
      <c r="N18" s="19">
        <v>0.8</v>
      </c>
      <c r="O18" s="32"/>
      <c r="P18" s="32"/>
    </row>
    <row r="19">
      <c r="O19"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4.63"/>
    <col customWidth="1" min="15" max="15" width="20.13"/>
  </cols>
  <sheetData>
    <row r="1">
      <c r="A1" s="31" t="s">
        <v>199</v>
      </c>
      <c r="B1" s="31" t="s">
        <v>204</v>
      </c>
      <c r="C1" s="31" t="s">
        <v>257</v>
      </c>
      <c r="D1" s="31" t="s">
        <v>225</v>
      </c>
      <c r="E1" s="31" t="s">
        <v>258</v>
      </c>
      <c r="F1" s="31" t="s">
        <v>259</v>
      </c>
      <c r="G1" s="31" t="s">
        <v>232</v>
      </c>
      <c r="H1" s="35" t="s">
        <v>231</v>
      </c>
      <c r="I1" s="18" t="s">
        <v>12</v>
      </c>
      <c r="J1" s="18" t="s">
        <v>40</v>
      </c>
      <c r="K1" s="18" t="s">
        <v>229</v>
      </c>
      <c r="L1" s="18" t="s">
        <v>90</v>
      </c>
      <c r="M1" s="18" t="s">
        <v>263</v>
      </c>
      <c r="N1" s="18" t="s">
        <v>183</v>
      </c>
      <c r="O1" s="18"/>
      <c r="P1" s="18"/>
      <c r="Q1" s="18"/>
      <c r="R1" s="18"/>
      <c r="S1" s="18"/>
    </row>
    <row r="2">
      <c r="A2" s="19" t="s">
        <v>264</v>
      </c>
      <c r="B2" s="19">
        <v>1960.0</v>
      </c>
      <c r="C2" s="19">
        <v>1.2</v>
      </c>
      <c r="D2" s="19">
        <v>1.4</v>
      </c>
      <c r="E2" s="19">
        <v>1.4</v>
      </c>
      <c r="F2" s="19">
        <v>1.4</v>
      </c>
      <c r="G2" s="19">
        <v>40.0</v>
      </c>
      <c r="H2" s="19">
        <v>1.0</v>
      </c>
      <c r="I2" s="19">
        <v>0.55</v>
      </c>
      <c r="J2" s="19">
        <v>0.4</v>
      </c>
      <c r="K2" s="19">
        <v>0.9</v>
      </c>
      <c r="L2" s="19">
        <v>1.0</v>
      </c>
      <c r="M2" s="19">
        <v>1.1</v>
      </c>
      <c r="N2" s="19">
        <v>0.8</v>
      </c>
      <c r="P2" s="19"/>
      <c r="Q2" s="19"/>
      <c r="R2" s="19"/>
      <c r="S2" s="19"/>
    </row>
    <row r="3">
      <c r="A3" s="20" t="s">
        <v>265</v>
      </c>
      <c r="B3" s="20">
        <v>1912.0</v>
      </c>
      <c r="C3" s="20">
        <v>1.1</v>
      </c>
      <c r="D3" s="20">
        <v>1.1</v>
      </c>
      <c r="E3" s="20">
        <v>0.8</v>
      </c>
      <c r="F3" s="20">
        <v>0.55</v>
      </c>
      <c r="G3" s="20">
        <v>25.0</v>
      </c>
      <c r="H3" s="20">
        <v>1.0</v>
      </c>
      <c r="I3" s="20">
        <v>5.0</v>
      </c>
      <c r="J3" s="20">
        <v>2.5</v>
      </c>
      <c r="K3" s="20">
        <v>2.0</v>
      </c>
      <c r="L3" s="20">
        <v>1.2</v>
      </c>
      <c r="M3" s="20">
        <v>0.5</v>
      </c>
      <c r="N3" s="20">
        <v>0.7</v>
      </c>
      <c r="Q3" s="20"/>
      <c r="R3" s="20"/>
      <c r="S3" s="20"/>
    </row>
    <row r="4">
      <c r="A4" s="19" t="s">
        <v>266</v>
      </c>
      <c r="B4" s="19">
        <v>1900.0</v>
      </c>
      <c r="C4" s="19">
        <v>1.25</v>
      </c>
      <c r="D4" s="19">
        <v>1.5</v>
      </c>
      <c r="E4" s="19">
        <v>1.5</v>
      </c>
      <c r="F4" s="19">
        <v>1.25</v>
      </c>
      <c r="G4" s="19">
        <v>1.0</v>
      </c>
      <c r="H4" s="19">
        <v>1.1</v>
      </c>
      <c r="I4" s="19">
        <v>0.7</v>
      </c>
      <c r="J4" s="19">
        <v>0.25</v>
      </c>
      <c r="K4" s="19">
        <v>0.8</v>
      </c>
      <c r="L4" s="19">
        <v>1.1</v>
      </c>
      <c r="M4" s="19">
        <v>1.2</v>
      </c>
      <c r="N4" s="19">
        <v>0.9</v>
      </c>
      <c r="Q4" s="19"/>
      <c r="R4" s="19"/>
      <c r="S4" s="19"/>
    </row>
    <row r="5">
      <c r="A5" s="20" t="s">
        <v>268</v>
      </c>
      <c r="B5" s="20">
        <v>1890.0</v>
      </c>
      <c r="C5" s="20">
        <v>1.0</v>
      </c>
      <c r="D5" s="20">
        <v>1.0</v>
      </c>
      <c r="E5" s="20">
        <v>5.0</v>
      </c>
      <c r="F5" s="20">
        <v>2.5</v>
      </c>
      <c r="G5" s="20">
        <v>0.0</v>
      </c>
      <c r="H5" s="20">
        <v>2.5</v>
      </c>
      <c r="I5" s="20">
        <v>0.1</v>
      </c>
      <c r="J5" s="20">
        <v>0.01</v>
      </c>
      <c r="K5" s="20">
        <v>0.01</v>
      </c>
      <c r="L5" s="20">
        <v>30.0</v>
      </c>
      <c r="M5" s="20">
        <v>0.25</v>
      </c>
      <c r="N5" s="20">
        <v>1.5</v>
      </c>
      <c r="Q5" s="20"/>
      <c r="R5" s="20"/>
      <c r="S5" s="20"/>
    </row>
    <row r="6">
      <c r="A6" s="19" t="s">
        <v>271</v>
      </c>
      <c r="B6" s="19">
        <v>1930.0</v>
      </c>
      <c r="C6" s="19">
        <v>1.5</v>
      </c>
      <c r="D6" s="19">
        <v>1.2</v>
      </c>
      <c r="E6" s="19">
        <v>3.0</v>
      </c>
      <c r="F6" s="19">
        <v>2.5</v>
      </c>
      <c r="G6" s="19">
        <v>20.0</v>
      </c>
      <c r="H6" s="19">
        <v>3.0</v>
      </c>
      <c r="I6" s="19">
        <v>0.2</v>
      </c>
      <c r="J6" s="19">
        <v>0.02</v>
      </c>
      <c r="K6" s="19">
        <v>0.02</v>
      </c>
      <c r="L6" s="19">
        <v>25.0</v>
      </c>
      <c r="M6" s="19">
        <v>0.35</v>
      </c>
      <c r="N6" s="19">
        <v>1.5</v>
      </c>
      <c r="Q6" s="19"/>
      <c r="R6" s="19"/>
      <c r="S6" s="19"/>
    </row>
    <row r="7">
      <c r="A7" s="20" t="s">
        <v>275</v>
      </c>
      <c r="B7" s="20">
        <v>1970.0</v>
      </c>
      <c r="C7" s="20">
        <v>3.0</v>
      </c>
      <c r="D7" s="20">
        <v>1.5</v>
      </c>
      <c r="E7" s="20">
        <v>3.0</v>
      </c>
      <c r="F7" s="20">
        <v>2.5</v>
      </c>
      <c r="G7" s="20">
        <v>30.0</v>
      </c>
      <c r="H7" s="20">
        <v>3.0</v>
      </c>
      <c r="I7" s="20">
        <v>0.3</v>
      </c>
      <c r="J7" s="20">
        <v>0.4</v>
      </c>
      <c r="K7" s="20">
        <v>0.1</v>
      </c>
      <c r="L7" s="20">
        <v>20.0</v>
      </c>
      <c r="M7" s="20">
        <v>0.4</v>
      </c>
      <c r="N7" s="20">
        <v>1.5</v>
      </c>
      <c r="Q7" s="20"/>
      <c r="R7" s="20"/>
      <c r="S7" s="20"/>
    </row>
    <row r="8">
      <c r="A8" s="19" t="s">
        <v>278</v>
      </c>
      <c r="B8" s="19">
        <v>1990.0</v>
      </c>
      <c r="C8" s="19">
        <v>4.5</v>
      </c>
      <c r="D8" s="19">
        <v>2.0</v>
      </c>
      <c r="E8" s="19">
        <v>3.0</v>
      </c>
      <c r="F8" s="19">
        <v>2.0</v>
      </c>
      <c r="G8" s="19">
        <v>40.0</v>
      </c>
      <c r="H8" s="19">
        <v>3.0</v>
      </c>
      <c r="I8" s="19">
        <v>0.6</v>
      </c>
      <c r="J8" s="19">
        <v>20.0</v>
      </c>
      <c r="K8" s="19">
        <v>0.3</v>
      </c>
      <c r="L8" s="19">
        <v>25.0</v>
      </c>
      <c r="M8" s="19">
        <v>0.5</v>
      </c>
      <c r="N8" s="19">
        <v>1.5</v>
      </c>
      <c r="Q8" s="19"/>
      <c r="R8" s="19"/>
      <c r="S8" s="19"/>
    </row>
    <row r="9">
      <c r="A9" s="20" t="s">
        <v>282</v>
      </c>
      <c r="B9" s="20">
        <v>2005.0</v>
      </c>
      <c r="C9" s="20">
        <v>12.0</v>
      </c>
      <c r="D9" s="20">
        <v>4.0</v>
      </c>
      <c r="E9" s="20">
        <v>2.5</v>
      </c>
      <c r="F9" s="20">
        <v>2.0</v>
      </c>
      <c r="G9" s="20">
        <v>60.0</v>
      </c>
      <c r="H9" s="20">
        <v>3.0</v>
      </c>
      <c r="I9" s="20">
        <v>2.5</v>
      </c>
      <c r="J9" s="20">
        <v>80.0</v>
      </c>
      <c r="K9" s="20">
        <v>2.5</v>
      </c>
      <c r="L9" s="20">
        <v>25.0</v>
      </c>
      <c r="M9" s="20">
        <v>1.5</v>
      </c>
      <c r="N9" s="20">
        <v>1.5</v>
      </c>
      <c r="O9" s="20"/>
      <c r="Q9" s="20"/>
      <c r="R9" s="20"/>
      <c r="S9" s="20"/>
    </row>
    <row r="10">
      <c r="A10" s="19" t="s">
        <v>285</v>
      </c>
      <c r="B10" s="19">
        <v>1890.0</v>
      </c>
      <c r="C10" s="19">
        <v>1.0</v>
      </c>
      <c r="D10" s="19">
        <v>0.8</v>
      </c>
      <c r="E10" s="19">
        <v>0.8</v>
      </c>
      <c r="F10" s="19">
        <v>0.75</v>
      </c>
      <c r="G10" s="19">
        <v>0.0</v>
      </c>
      <c r="H10" s="19">
        <v>1.0</v>
      </c>
      <c r="I10" s="19">
        <v>0.6</v>
      </c>
      <c r="J10" s="19">
        <v>1.0</v>
      </c>
      <c r="K10" s="19">
        <v>1.2</v>
      </c>
      <c r="L10" s="19">
        <v>1.0</v>
      </c>
      <c r="M10" s="19">
        <v>1.2</v>
      </c>
      <c r="N10" s="19">
        <v>1.0</v>
      </c>
      <c r="Q10" s="19"/>
      <c r="R10" s="19"/>
      <c r="S10" s="19"/>
    </row>
    <row r="11">
      <c r="A11" s="20" t="s">
        <v>289</v>
      </c>
      <c r="B11" s="20">
        <v>1985.0</v>
      </c>
      <c r="C11" s="20">
        <v>4.0</v>
      </c>
      <c r="D11" s="20">
        <v>5.0</v>
      </c>
      <c r="E11" s="20">
        <v>3.0</v>
      </c>
      <c r="F11" s="20">
        <v>2.0</v>
      </c>
      <c r="G11" s="20">
        <v>60.0</v>
      </c>
      <c r="H11" s="20">
        <v>1.2</v>
      </c>
      <c r="I11" s="20">
        <v>0.55</v>
      </c>
      <c r="J11" s="20">
        <v>3.4</v>
      </c>
      <c r="K11" s="20">
        <v>1.0</v>
      </c>
      <c r="L11" s="20">
        <v>5.0</v>
      </c>
      <c r="M11" s="20">
        <v>1.0</v>
      </c>
      <c r="N11" s="20">
        <v>1.3</v>
      </c>
      <c r="Q11" s="20"/>
      <c r="R11" s="20"/>
      <c r="S11" s="20"/>
    </row>
    <row r="12">
      <c r="A12" s="19" t="s">
        <v>293</v>
      </c>
      <c r="B12" s="19">
        <v>1980.0</v>
      </c>
      <c r="C12" s="19">
        <v>5.0</v>
      </c>
      <c r="D12" s="19">
        <v>5.0</v>
      </c>
      <c r="E12" s="19">
        <v>5.0</v>
      </c>
      <c r="F12" s="19">
        <v>3.0</v>
      </c>
      <c r="G12" s="19">
        <v>70.0</v>
      </c>
      <c r="H12" s="19">
        <v>1.1</v>
      </c>
      <c r="I12" s="19">
        <v>0.25</v>
      </c>
      <c r="J12" s="19">
        <v>1.5</v>
      </c>
      <c r="K12" s="19">
        <v>0.6</v>
      </c>
      <c r="L12" s="19">
        <v>1.0</v>
      </c>
      <c r="M12" s="19">
        <v>1.0</v>
      </c>
      <c r="N12" s="19">
        <v>0.75</v>
      </c>
      <c r="Q12" s="19"/>
      <c r="R12" s="19"/>
      <c r="S12" s="19"/>
    </row>
    <row r="13">
      <c r="A13" s="20" t="s">
        <v>296</v>
      </c>
      <c r="B13" s="20">
        <v>1960.0</v>
      </c>
      <c r="C13" s="20">
        <v>2.6</v>
      </c>
      <c r="D13" s="20">
        <v>2.6</v>
      </c>
      <c r="E13" s="20">
        <v>2.6</v>
      </c>
      <c r="F13" s="20">
        <v>1.5</v>
      </c>
      <c r="G13" s="20">
        <v>50.0</v>
      </c>
      <c r="H13" s="20">
        <v>2.0</v>
      </c>
      <c r="I13" s="20">
        <v>0.3</v>
      </c>
      <c r="J13" s="20">
        <v>3.5</v>
      </c>
      <c r="K13" s="20">
        <v>0.7</v>
      </c>
      <c r="L13" s="20">
        <v>1.0</v>
      </c>
      <c r="M13" s="20">
        <v>0.8</v>
      </c>
      <c r="N13" s="20">
        <v>1.0</v>
      </c>
      <c r="Q13" s="20"/>
      <c r="R13" s="20"/>
      <c r="S13" s="20"/>
    </row>
    <row r="14">
      <c r="A14" s="19" t="s">
        <v>300</v>
      </c>
      <c r="B14" s="19">
        <v>1890.0</v>
      </c>
      <c r="C14" s="19">
        <v>1.0</v>
      </c>
      <c r="D14" s="19">
        <v>1.0</v>
      </c>
      <c r="E14" s="19">
        <v>1.0</v>
      </c>
      <c r="F14" s="19">
        <v>1.0</v>
      </c>
      <c r="G14" s="19">
        <v>0.0</v>
      </c>
      <c r="H14" s="19">
        <v>1.0</v>
      </c>
      <c r="I14" s="19">
        <v>2.0</v>
      </c>
      <c r="J14" s="19">
        <v>0.01</v>
      </c>
      <c r="K14" s="19">
        <v>0.5</v>
      </c>
      <c r="L14" s="19">
        <v>8.0</v>
      </c>
      <c r="M14" s="19">
        <v>0.4</v>
      </c>
      <c r="N14" s="19">
        <v>1.0</v>
      </c>
      <c r="Q14" s="19"/>
      <c r="R14" s="19"/>
      <c r="S14" s="19"/>
    </row>
    <row r="15">
      <c r="A15" s="20"/>
      <c r="B15" s="20"/>
      <c r="C15" s="20"/>
      <c r="D15" s="20"/>
      <c r="E15" s="20"/>
      <c r="F15" s="20"/>
      <c r="G15" s="20"/>
      <c r="H15" s="20"/>
      <c r="I15" s="20"/>
      <c r="J15" s="20"/>
      <c r="K15" s="20"/>
      <c r="L15" s="20"/>
      <c r="M15" s="20"/>
      <c r="N15" s="32"/>
      <c r="Q15" s="20"/>
      <c r="R15" s="20"/>
      <c r="S15" s="20"/>
    </row>
    <row r="16">
      <c r="A16" s="19"/>
      <c r="B16" s="19"/>
      <c r="C16" s="19"/>
      <c r="D16" s="19"/>
      <c r="E16" s="19"/>
      <c r="F16" s="19"/>
      <c r="G16" s="19"/>
      <c r="H16" s="19"/>
      <c r="I16" s="19"/>
      <c r="J16" s="19"/>
      <c r="K16" s="19"/>
      <c r="L16" s="19"/>
      <c r="M16" s="19"/>
      <c r="N16" s="32"/>
    </row>
    <row r="17">
      <c r="A17" s="20"/>
      <c r="B17" s="20"/>
      <c r="C17" s="20"/>
      <c r="D17" s="20"/>
      <c r="E17" s="20"/>
      <c r="F17" s="20"/>
      <c r="G17" s="20"/>
      <c r="H17" s="20"/>
      <c r="I17" s="20"/>
      <c r="J17" s="20"/>
      <c r="K17" s="20"/>
      <c r="L17" s="20"/>
      <c r="M17" s="20"/>
      <c r="N17" s="32"/>
      <c r="O17" s="32"/>
    </row>
    <row r="18">
      <c r="A18" s="26"/>
      <c r="B18" s="26"/>
      <c r="C18" s="26"/>
      <c r="D18" s="26"/>
      <c r="E18" s="26"/>
      <c r="F18" s="26"/>
      <c r="G18" s="26"/>
      <c r="H18" s="26"/>
      <c r="I18" s="19"/>
      <c r="J18" s="19"/>
      <c r="K18" s="19"/>
      <c r="L18" s="19"/>
      <c r="M18" s="19"/>
      <c r="N18" s="32"/>
      <c r="O18" s="32"/>
    </row>
    <row r="19">
      <c r="N19"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4.63"/>
    <col customWidth="1" min="14" max="14" width="20.13"/>
  </cols>
  <sheetData>
    <row r="1">
      <c r="A1" s="18" t="s">
        <v>199</v>
      </c>
      <c r="B1" s="18" t="s">
        <v>204</v>
      </c>
      <c r="C1" s="18" t="s">
        <v>267</v>
      </c>
      <c r="D1" s="18" t="s">
        <v>226</v>
      </c>
      <c r="E1" s="18" t="s">
        <v>225</v>
      </c>
      <c r="F1" s="18" t="s">
        <v>258</v>
      </c>
      <c r="G1" s="18" t="s">
        <v>259</v>
      </c>
      <c r="H1" s="18" t="s">
        <v>232</v>
      </c>
      <c r="I1" s="18" t="s">
        <v>231</v>
      </c>
      <c r="J1" s="18" t="s">
        <v>40</v>
      </c>
      <c r="K1" s="18" t="s">
        <v>229</v>
      </c>
      <c r="L1" s="18" t="s">
        <v>90</v>
      </c>
      <c r="M1" s="18" t="s">
        <v>263</v>
      </c>
      <c r="N1" s="18" t="s">
        <v>183</v>
      </c>
      <c r="O1" s="18" t="s">
        <v>269</v>
      </c>
      <c r="P1" s="18" t="s">
        <v>12</v>
      </c>
      <c r="Q1" s="18"/>
      <c r="R1" s="18"/>
    </row>
    <row r="2">
      <c r="A2" s="19" t="s">
        <v>270</v>
      </c>
      <c r="B2" s="19">
        <v>1890.0</v>
      </c>
      <c r="C2" s="19">
        <v>1.0</v>
      </c>
      <c r="D2" s="19">
        <v>0.1</v>
      </c>
      <c r="E2" s="19">
        <v>1.0</v>
      </c>
      <c r="F2" s="19">
        <v>1.0</v>
      </c>
      <c r="G2" s="19">
        <v>1.0</v>
      </c>
      <c r="H2" s="19">
        <v>0.0</v>
      </c>
      <c r="I2" s="19">
        <v>1.0</v>
      </c>
      <c r="J2" s="19">
        <v>1.0</v>
      </c>
      <c r="K2" s="19">
        <v>1.0</v>
      </c>
      <c r="L2" s="19">
        <v>0.3</v>
      </c>
      <c r="M2" s="19">
        <v>1.0</v>
      </c>
      <c r="N2" s="19">
        <v>1.4</v>
      </c>
      <c r="O2" s="19">
        <v>1.0</v>
      </c>
      <c r="P2" s="19">
        <v>1.0</v>
      </c>
      <c r="Q2" s="19"/>
      <c r="R2" s="19"/>
    </row>
    <row r="3">
      <c r="A3" s="20" t="s">
        <v>273</v>
      </c>
      <c r="B3" s="20">
        <v>1905.0</v>
      </c>
      <c r="C3" s="20">
        <v>2.0</v>
      </c>
      <c r="D3" s="20">
        <v>1.2</v>
      </c>
      <c r="E3" s="20">
        <v>1.2</v>
      </c>
      <c r="F3" s="20">
        <v>1.3</v>
      </c>
      <c r="G3" s="20">
        <v>1.7</v>
      </c>
      <c r="H3" s="20">
        <v>50.0</v>
      </c>
      <c r="I3" s="20">
        <v>1.2</v>
      </c>
      <c r="J3" s="20">
        <v>1.1</v>
      </c>
      <c r="K3" s="20">
        <v>1.2</v>
      </c>
      <c r="L3" s="20">
        <v>0.9</v>
      </c>
      <c r="M3" s="20">
        <v>1.08</v>
      </c>
      <c r="N3" s="20">
        <v>1.2</v>
      </c>
      <c r="O3" s="20">
        <v>1.2</v>
      </c>
      <c r="P3" s="20">
        <v>1.0</v>
      </c>
      <c r="Q3" s="20"/>
      <c r="R3" s="20"/>
    </row>
    <row r="4">
      <c r="A4" s="19" t="s">
        <v>277</v>
      </c>
      <c r="B4" s="19">
        <v>1890.0</v>
      </c>
      <c r="C4" s="19">
        <v>2.0</v>
      </c>
      <c r="D4" s="19">
        <v>0.6</v>
      </c>
      <c r="E4" s="19">
        <v>0.7</v>
      </c>
      <c r="F4" s="19">
        <v>0.9</v>
      </c>
      <c r="G4" s="19">
        <v>0.9</v>
      </c>
      <c r="H4" s="19">
        <v>20.0</v>
      </c>
      <c r="I4" s="19">
        <v>1.0</v>
      </c>
      <c r="J4" s="19">
        <v>0.75</v>
      </c>
      <c r="K4" s="19">
        <v>1.0</v>
      </c>
      <c r="L4" s="19">
        <v>0.75</v>
      </c>
      <c r="M4" s="19">
        <v>0.85</v>
      </c>
      <c r="N4" s="19">
        <v>0.85</v>
      </c>
      <c r="O4" s="19">
        <v>0.7</v>
      </c>
      <c r="P4" s="19">
        <v>1.0</v>
      </c>
      <c r="Q4" s="19"/>
      <c r="R4" s="19"/>
    </row>
    <row r="5">
      <c r="A5" s="20" t="s">
        <v>280</v>
      </c>
      <c r="B5" s="20">
        <v>1890.0</v>
      </c>
      <c r="C5" s="20">
        <v>2.0</v>
      </c>
      <c r="D5" s="20">
        <v>0.4</v>
      </c>
      <c r="E5" s="20">
        <v>0.5</v>
      </c>
      <c r="F5" s="20">
        <v>0.6</v>
      </c>
      <c r="G5" s="20">
        <v>0.5</v>
      </c>
      <c r="H5" s="20">
        <v>0.0</v>
      </c>
      <c r="I5" s="20">
        <v>0.7</v>
      </c>
      <c r="J5" s="20">
        <v>0.5</v>
      </c>
      <c r="K5" s="20">
        <v>0.6</v>
      </c>
      <c r="L5" s="20">
        <v>0.7</v>
      </c>
      <c r="M5" s="20">
        <v>0.6</v>
      </c>
      <c r="N5" s="20">
        <v>0.7</v>
      </c>
      <c r="O5" s="20">
        <v>1.05</v>
      </c>
      <c r="P5" s="20">
        <v>1.0</v>
      </c>
      <c r="Q5" s="20"/>
      <c r="R5" s="20"/>
    </row>
    <row r="6">
      <c r="A6" s="19" t="s">
        <v>283</v>
      </c>
      <c r="B6" s="19">
        <v>1900.0</v>
      </c>
      <c r="C6" s="19">
        <v>2.0</v>
      </c>
      <c r="D6" s="19">
        <v>0.6</v>
      </c>
      <c r="E6" s="19">
        <v>0.6</v>
      </c>
      <c r="F6" s="19">
        <v>0.9</v>
      </c>
      <c r="G6" s="19">
        <v>0.9</v>
      </c>
      <c r="H6" s="19">
        <v>30.0</v>
      </c>
      <c r="I6" s="19">
        <v>1.0</v>
      </c>
      <c r="J6" s="19">
        <v>0.85</v>
      </c>
      <c r="K6" s="19">
        <v>1.1</v>
      </c>
      <c r="L6" s="19">
        <v>0.7</v>
      </c>
      <c r="M6" s="19">
        <v>0.95</v>
      </c>
      <c r="N6" s="19">
        <v>0.85</v>
      </c>
      <c r="O6" s="19">
        <v>0.8</v>
      </c>
      <c r="P6" s="19">
        <v>1.0</v>
      </c>
      <c r="Q6" s="19"/>
      <c r="R6" s="19"/>
    </row>
    <row r="7">
      <c r="A7" s="20" t="s">
        <v>286</v>
      </c>
      <c r="B7" s="20">
        <v>1890.0</v>
      </c>
      <c r="C7" s="20">
        <v>3.0</v>
      </c>
      <c r="D7" s="20">
        <v>0.7</v>
      </c>
      <c r="E7" s="20">
        <v>0.6</v>
      </c>
      <c r="F7" s="20">
        <v>0.7</v>
      </c>
      <c r="G7" s="20">
        <v>0.75</v>
      </c>
      <c r="H7" s="20">
        <v>0.0</v>
      </c>
      <c r="I7" s="20">
        <v>1.0</v>
      </c>
      <c r="J7" s="20">
        <v>0.4</v>
      </c>
      <c r="K7" s="20">
        <v>1.0</v>
      </c>
      <c r="L7" s="20">
        <v>1.0</v>
      </c>
      <c r="M7" s="20">
        <v>0.45</v>
      </c>
      <c r="N7" s="20">
        <v>1.0</v>
      </c>
      <c r="O7" s="20">
        <v>1.0</v>
      </c>
      <c r="P7" s="20">
        <v>1.0</v>
      </c>
      <c r="Q7" s="20"/>
      <c r="R7" s="20"/>
    </row>
    <row r="8">
      <c r="A8" s="19" t="s">
        <v>288</v>
      </c>
      <c r="B8" s="19">
        <v>1890.0</v>
      </c>
      <c r="C8" s="19">
        <v>2.0</v>
      </c>
      <c r="D8" s="19">
        <v>1.0</v>
      </c>
      <c r="E8" s="19">
        <v>1.1</v>
      </c>
      <c r="F8" s="19">
        <v>1.2</v>
      </c>
      <c r="G8" s="19">
        <v>1.5</v>
      </c>
      <c r="H8" s="19">
        <v>35.0</v>
      </c>
      <c r="I8" s="19">
        <v>1.1</v>
      </c>
      <c r="J8" s="19">
        <v>1.0</v>
      </c>
      <c r="K8" s="19">
        <v>1.1</v>
      </c>
      <c r="L8" s="19">
        <v>0.7</v>
      </c>
      <c r="M8" s="19">
        <v>1.05</v>
      </c>
      <c r="N8" s="19">
        <v>1.1</v>
      </c>
      <c r="O8" s="19">
        <v>1.1</v>
      </c>
      <c r="P8" s="19">
        <v>1.0</v>
      </c>
      <c r="Q8" s="19"/>
      <c r="R8" s="19"/>
    </row>
    <row r="9">
      <c r="A9" s="20" t="s">
        <v>292</v>
      </c>
      <c r="B9" s="20">
        <v>1890.0</v>
      </c>
      <c r="C9" s="20">
        <v>3.0</v>
      </c>
      <c r="D9" s="20">
        <v>1.0</v>
      </c>
      <c r="E9" s="20">
        <v>0.8</v>
      </c>
      <c r="F9" s="20">
        <v>0.9</v>
      </c>
      <c r="G9" s="20">
        <v>1.0</v>
      </c>
      <c r="H9" s="20">
        <v>25.0</v>
      </c>
      <c r="I9" s="20">
        <v>1.2</v>
      </c>
      <c r="J9" s="20">
        <v>0.55</v>
      </c>
      <c r="K9" s="20">
        <v>0.75</v>
      </c>
      <c r="L9" s="20">
        <v>0.8</v>
      </c>
      <c r="M9" s="20">
        <v>0.55</v>
      </c>
      <c r="N9" s="20">
        <v>1.3</v>
      </c>
      <c r="O9" s="20">
        <v>0.9</v>
      </c>
      <c r="P9" s="20">
        <v>1.0</v>
      </c>
      <c r="Q9" s="20"/>
      <c r="R9" s="20"/>
    </row>
    <row r="10">
      <c r="A10" s="19" t="s">
        <v>295</v>
      </c>
      <c r="B10" s="19">
        <v>1890.0</v>
      </c>
      <c r="C10" s="19">
        <v>2.0</v>
      </c>
      <c r="D10" s="19">
        <v>0.5</v>
      </c>
      <c r="E10" s="19">
        <v>0.6</v>
      </c>
      <c r="F10" s="19">
        <v>0.7</v>
      </c>
      <c r="G10" s="19">
        <v>0.8</v>
      </c>
      <c r="H10" s="19">
        <v>15.0</v>
      </c>
      <c r="I10" s="19">
        <v>0.8</v>
      </c>
      <c r="J10" s="19">
        <v>0.5</v>
      </c>
      <c r="K10" s="19">
        <v>0.8</v>
      </c>
      <c r="L10" s="19">
        <v>0.7</v>
      </c>
      <c r="M10" s="19">
        <v>0.67</v>
      </c>
      <c r="N10" s="19">
        <v>0.85</v>
      </c>
      <c r="O10" s="19">
        <v>1.07</v>
      </c>
      <c r="P10" s="19">
        <v>1.0</v>
      </c>
      <c r="Q10" s="19"/>
      <c r="R10" s="19"/>
    </row>
    <row r="11">
      <c r="A11" s="26" t="s">
        <v>298</v>
      </c>
      <c r="B11" s="26">
        <v>1890.0</v>
      </c>
      <c r="C11" s="26">
        <v>2.0</v>
      </c>
      <c r="D11" s="26">
        <v>0.3</v>
      </c>
      <c r="E11" s="26">
        <v>0.3</v>
      </c>
      <c r="F11" s="26">
        <v>0.3</v>
      </c>
      <c r="G11" s="26">
        <v>0.3</v>
      </c>
      <c r="H11" s="26">
        <v>0.0</v>
      </c>
      <c r="I11" s="26">
        <v>0.6</v>
      </c>
      <c r="J11" s="26">
        <v>0.35</v>
      </c>
      <c r="K11" s="26">
        <v>-1.0</v>
      </c>
      <c r="L11" s="26">
        <v>-1.0</v>
      </c>
      <c r="M11" s="26">
        <v>1.0</v>
      </c>
      <c r="N11" s="26">
        <v>-1.0</v>
      </c>
      <c r="O11" s="26">
        <v>0.0</v>
      </c>
      <c r="P11" s="26">
        <v>0.5</v>
      </c>
      <c r="Q11" s="20"/>
      <c r="R11" s="20"/>
    </row>
    <row r="12">
      <c r="A12" s="19"/>
      <c r="B12" s="19"/>
      <c r="C12" s="19"/>
      <c r="D12" s="19"/>
      <c r="E12" s="19"/>
      <c r="F12" s="19"/>
      <c r="G12" s="19"/>
      <c r="H12" s="19"/>
      <c r="I12" s="19"/>
      <c r="J12" s="19"/>
      <c r="K12" s="19"/>
      <c r="L12" s="19"/>
      <c r="M12" s="19"/>
      <c r="P12" s="19"/>
      <c r="Q12" s="19"/>
      <c r="R12" s="19"/>
    </row>
    <row r="13">
      <c r="A13" s="20"/>
      <c r="B13" s="20"/>
      <c r="C13" s="20"/>
      <c r="D13" s="20"/>
      <c r="E13" s="20"/>
      <c r="F13" s="20"/>
      <c r="G13" s="20"/>
      <c r="H13" s="20"/>
      <c r="I13" s="20"/>
      <c r="J13" s="20"/>
      <c r="K13" s="20"/>
      <c r="L13" s="20"/>
      <c r="M13" s="20"/>
      <c r="P13" s="20"/>
      <c r="Q13" s="20"/>
      <c r="R13" s="20"/>
    </row>
    <row r="14">
      <c r="A14" s="19"/>
      <c r="B14" s="19"/>
      <c r="C14" s="19"/>
      <c r="D14" s="19"/>
      <c r="E14" s="19"/>
      <c r="F14" s="19"/>
      <c r="G14" s="19"/>
      <c r="H14" s="19"/>
      <c r="I14" s="19"/>
      <c r="J14" s="19"/>
      <c r="K14" s="19"/>
      <c r="L14" s="19"/>
      <c r="M14" s="19"/>
      <c r="P14" s="19"/>
      <c r="Q14" s="19"/>
      <c r="R14" s="19"/>
    </row>
    <row r="15">
      <c r="A15" s="20"/>
      <c r="B15" s="20"/>
      <c r="C15" s="20"/>
      <c r="D15" s="20"/>
      <c r="E15" s="20"/>
      <c r="F15" s="20"/>
      <c r="G15" s="20"/>
      <c r="H15" s="20"/>
      <c r="I15" s="20"/>
      <c r="J15" s="20"/>
      <c r="K15" s="20"/>
      <c r="L15" s="20"/>
      <c r="M15" s="32"/>
      <c r="P15" s="20"/>
      <c r="Q15" s="20"/>
      <c r="R15" s="20"/>
    </row>
    <row r="16">
      <c r="A16" s="19"/>
      <c r="B16" s="19"/>
      <c r="C16" s="19"/>
      <c r="D16" s="19"/>
      <c r="E16" s="19"/>
      <c r="F16" s="19"/>
      <c r="G16" s="19"/>
      <c r="H16" s="19"/>
      <c r="I16" s="19"/>
      <c r="J16" s="19"/>
      <c r="K16" s="19"/>
      <c r="L16" s="19"/>
      <c r="M16" s="32"/>
    </row>
    <row r="17">
      <c r="A17" s="20"/>
      <c r="B17" s="20"/>
      <c r="C17" s="20"/>
      <c r="D17" s="20"/>
      <c r="E17" s="20"/>
      <c r="F17" s="20"/>
      <c r="G17" s="20"/>
      <c r="H17" s="20"/>
      <c r="I17" s="20"/>
      <c r="J17" s="20"/>
      <c r="K17" s="20"/>
      <c r="L17" s="20"/>
      <c r="M17" s="32"/>
      <c r="N17" s="32"/>
    </row>
    <row r="18">
      <c r="A18" s="26"/>
      <c r="B18" s="26"/>
      <c r="C18" s="26"/>
      <c r="D18" s="26"/>
      <c r="E18" s="26"/>
      <c r="F18" s="26"/>
      <c r="G18" s="26"/>
      <c r="H18" s="26"/>
      <c r="I18" s="19"/>
      <c r="J18" s="19"/>
      <c r="K18" s="19"/>
      <c r="L18" s="19"/>
      <c r="M18" s="32"/>
      <c r="N18" s="32"/>
    </row>
    <row r="19">
      <c r="M19"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24.63"/>
    <col customWidth="1" min="13" max="13" width="20.13"/>
  </cols>
  <sheetData>
    <row r="1">
      <c r="A1" s="18" t="s">
        <v>199</v>
      </c>
      <c r="B1" s="18" t="s">
        <v>204</v>
      </c>
      <c r="C1" s="18" t="s">
        <v>257</v>
      </c>
      <c r="D1" s="18" t="s">
        <v>225</v>
      </c>
      <c r="E1" s="18" t="s">
        <v>258</v>
      </c>
      <c r="F1" s="18" t="s">
        <v>259</v>
      </c>
      <c r="G1" s="18" t="s">
        <v>232</v>
      </c>
      <c r="H1" s="18" t="s">
        <v>231</v>
      </c>
      <c r="I1" s="18" t="s">
        <v>12</v>
      </c>
      <c r="J1" s="18" t="s">
        <v>40</v>
      </c>
      <c r="K1" s="18" t="s">
        <v>229</v>
      </c>
      <c r="L1" s="18" t="s">
        <v>90</v>
      </c>
      <c r="M1" s="18"/>
      <c r="N1" s="18"/>
      <c r="O1" s="18"/>
      <c r="P1" s="18"/>
      <c r="Q1" s="18"/>
    </row>
    <row r="2">
      <c r="A2" s="19" t="s">
        <v>272</v>
      </c>
      <c r="B2" s="19">
        <v>1985.0</v>
      </c>
      <c r="C2" s="19">
        <v>5.0</v>
      </c>
      <c r="D2" s="19">
        <v>3.0</v>
      </c>
      <c r="E2" s="19">
        <v>2.0</v>
      </c>
      <c r="F2" s="19">
        <v>1.4</v>
      </c>
      <c r="G2" s="19">
        <v>50.0</v>
      </c>
      <c r="H2" s="19">
        <v>1.1</v>
      </c>
      <c r="I2" s="19">
        <v>2.5</v>
      </c>
      <c r="J2" s="19">
        <v>1.05</v>
      </c>
      <c r="K2" s="19">
        <v>0.65</v>
      </c>
      <c r="L2" s="19">
        <v>1.2</v>
      </c>
      <c r="M2" s="19"/>
      <c r="N2" s="19"/>
      <c r="O2" s="19"/>
      <c r="P2" s="19"/>
      <c r="Q2" s="19"/>
    </row>
    <row r="3">
      <c r="A3" s="20" t="s">
        <v>274</v>
      </c>
      <c r="B3" s="20">
        <v>1890.0</v>
      </c>
      <c r="C3" s="20">
        <v>0.0</v>
      </c>
      <c r="D3" s="20">
        <v>1.0</v>
      </c>
      <c r="E3" s="20">
        <v>1.0</v>
      </c>
      <c r="F3" s="20">
        <v>1.0</v>
      </c>
      <c r="G3" s="20">
        <v>0.0</v>
      </c>
      <c r="H3" s="20">
        <v>1.0</v>
      </c>
      <c r="I3" s="20">
        <v>1.0</v>
      </c>
      <c r="J3" s="20">
        <v>1.0</v>
      </c>
      <c r="K3" s="20">
        <v>1.0</v>
      </c>
      <c r="L3" s="20">
        <v>1.0</v>
      </c>
      <c r="M3" s="20"/>
      <c r="N3" s="20"/>
      <c r="O3" s="20"/>
      <c r="P3" s="20"/>
      <c r="Q3" s="20"/>
    </row>
    <row r="4">
      <c r="A4" s="19" t="s">
        <v>276</v>
      </c>
      <c r="B4" s="19">
        <v>1890.0</v>
      </c>
      <c r="C4" s="19">
        <v>0.0</v>
      </c>
      <c r="D4" s="19">
        <v>1.0</v>
      </c>
      <c r="E4" s="19">
        <v>1.0</v>
      </c>
      <c r="F4" s="19">
        <v>1.0</v>
      </c>
      <c r="G4" s="19">
        <v>0.0</v>
      </c>
      <c r="H4" s="19">
        <v>1.0</v>
      </c>
      <c r="I4" s="19">
        <v>1.0</v>
      </c>
      <c r="J4" s="19">
        <v>1.0</v>
      </c>
      <c r="K4" s="19">
        <v>1.0</v>
      </c>
      <c r="L4" s="19">
        <v>1.0</v>
      </c>
      <c r="M4" s="19"/>
      <c r="N4" s="19"/>
      <c r="O4" s="19"/>
      <c r="P4" s="19"/>
      <c r="Q4" s="19"/>
    </row>
    <row r="5">
      <c r="A5" s="20" t="s">
        <v>279</v>
      </c>
      <c r="B5" s="20">
        <v>1972.0</v>
      </c>
      <c r="C5" s="20">
        <v>6.0</v>
      </c>
      <c r="D5" s="20">
        <v>2.5</v>
      </c>
      <c r="E5" s="20">
        <v>2.1</v>
      </c>
      <c r="F5" s="20">
        <v>3.1</v>
      </c>
      <c r="G5" s="20">
        <v>70.0</v>
      </c>
      <c r="H5" s="20">
        <v>1.7</v>
      </c>
      <c r="I5" s="20">
        <v>2.4</v>
      </c>
      <c r="J5" s="20">
        <v>1.2</v>
      </c>
      <c r="K5" s="20">
        <v>0.75</v>
      </c>
      <c r="L5" s="20">
        <v>1.1</v>
      </c>
      <c r="M5" s="20"/>
      <c r="N5" s="20"/>
      <c r="O5" s="20"/>
      <c r="P5" s="20"/>
      <c r="Q5" s="20"/>
    </row>
    <row r="6">
      <c r="A6" s="19" t="s">
        <v>281</v>
      </c>
      <c r="B6" s="19">
        <v>1902.0</v>
      </c>
      <c r="C6" s="19">
        <v>0.4</v>
      </c>
      <c r="D6" s="19">
        <v>1.05</v>
      </c>
      <c r="E6" s="19">
        <v>1.05</v>
      </c>
      <c r="F6" s="19">
        <v>1.05</v>
      </c>
      <c r="G6" s="19">
        <v>20.0</v>
      </c>
      <c r="H6" s="19">
        <v>1.0</v>
      </c>
      <c r="I6" s="19">
        <v>1.3</v>
      </c>
      <c r="J6" s="19">
        <v>1.02</v>
      </c>
      <c r="K6" s="19">
        <v>1.0</v>
      </c>
      <c r="L6" s="19">
        <v>1.05</v>
      </c>
      <c r="M6" s="19"/>
      <c r="N6" s="19"/>
      <c r="O6" s="19"/>
      <c r="P6" s="19"/>
      <c r="Q6" s="19"/>
    </row>
    <row r="7">
      <c r="A7" s="20" t="s">
        <v>284</v>
      </c>
      <c r="B7" s="20">
        <v>1932.0</v>
      </c>
      <c r="C7" s="20">
        <v>0.5</v>
      </c>
      <c r="D7" s="20">
        <v>1.07</v>
      </c>
      <c r="E7" s="20">
        <v>1.05</v>
      </c>
      <c r="F7" s="20">
        <v>1.05</v>
      </c>
      <c r="G7" s="20">
        <v>20.0</v>
      </c>
      <c r="H7" s="20">
        <v>1.05</v>
      </c>
      <c r="I7" s="20">
        <v>1.1</v>
      </c>
      <c r="J7" s="20">
        <v>1.25</v>
      </c>
      <c r="K7" s="20">
        <v>0.9</v>
      </c>
      <c r="L7" s="20">
        <v>1.05</v>
      </c>
      <c r="M7" s="20"/>
      <c r="N7" s="20"/>
      <c r="O7" s="20"/>
      <c r="P7" s="20"/>
      <c r="Q7" s="20"/>
    </row>
    <row r="8">
      <c r="A8" s="19" t="s">
        <v>287</v>
      </c>
      <c r="B8" s="19">
        <v>1932.0</v>
      </c>
      <c r="C8" s="19">
        <v>0.5</v>
      </c>
      <c r="D8" s="19">
        <v>1.07</v>
      </c>
      <c r="E8" s="19">
        <v>1.05</v>
      </c>
      <c r="F8" s="19">
        <v>1.05</v>
      </c>
      <c r="G8" s="19">
        <v>20.0</v>
      </c>
      <c r="H8" s="19">
        <v>1.05</v>
      </c>
      <c r="I8" s="19">
        <v>1.3</v>
      </c>
      <c r="J8" s="19">
        <v>1.1</v>
      </c>
      <c r="K8" s="19">
        <v>0.9</v>
      </c>
      <c r="L8" s="19">
        <v>1.05</v>
      </c>
      <c r="M8" s="19"/>
      <c r="N8" s="19"/>
      <c r="O8" s="19"/>
      <c r="P8" s="19"/>
      <c r="Q8" s="19"/>
    </row>
    <row r="9">
      <c r="A9" s="20" t="s">
        <v>290</v>
      </c>
      <c r="B9" s="20">
        <v>1952.0</v>
      </c>
      <c r="C9" s="20">
        <v>0.65</v>
      </c>
      <c r="D9" s="20">
        <v>1.1</v>
      </c>
      <c r="E9" s="20">
        <v>1.1</v>
      </c>
      <c r="F9" s="20">
        <v>1.1</v>
      </c>
      <c r="G9" s="20">
        <v>27.0</v>
      </c>
      <c r="H9" s="20">
        <v>1.05</v>
      </c>
      <c r="I9" s="20">
        <v>1.2</v>
      </c>
      <c r="J9" s="20">
        <v>1.45</v>
      </c>
      <c r="K9" s="20">
        <v>0.9</v>
      </c>
      <c r="L9" s="20">
        <v>1.05</v>
      </c>
      <c r="M9" s="20"/>
      <c r="N9" s="20"/>
      <c r="O9" s="20"/>
      <c r="P9" s="20"/>
      <c r="Q9" s="20"/>
    </row>
    <row r="10">
      <c r="A10" s="19" t="s">
        <v>291</v>
      </c>
      <c r="B10" s="19">
        <v>1952.0</v>
      </c>
      <c r="C10" s="19">
        <v>0.65</v>
      </c>
      <c r="D10" s="19">
        <v>1.1</v>
      </c>
      <c r="E10" s="19">
        <v>1.1</v>
      </c>
      <c r="F10" s="19">
        <v>1.1</v>
      </c>
      <c r="G10" s="19">
        <v>27.0</v>
      </c>
      <c r="H10" s="19">
        <v>1.05</v>
      </c>
      <c r="I10" s="19">
        <v>1.6</v>
      </c>
      <c r="J10" s="19">
        <v>1.2</v>
      </c>
      <c r="K10" s="19">
        <v>0.9</v>
      </c>
      <c r="L10" s="19">
        <v>1.05</v>
      </c>
      <c r="M10" s="19"/>
      <c r="N10" s="19"/>
      <c r="O10" s="19"/>
      <c r="P10" s="19"/>
      <c r="Q10" s="19"/>
    </row>
    <row r="11">
      <c r="A11" s="20" t="s">
        <v>294</v>
      </c>
      <c r="B11" s="20">
        <v>1972.0</v>
      </c>
      <c r="C11" s="20">
        <v>0.8</v>
      </c>
      <c r="D11" s="20">
        <v>1.15</v>
      </c>
      <c r="E11" s="20">
        <v>1.15</v>
      </c>
      <c r="F11" s="20">
        <v>1.15</v>
      </c>
      <c r="G11" s="20">
        <v>32.0</v>
      </c>
      <c r="H11" s="20">
        <v>1.05</v>
      </c>
      <c r="I11" s="20">
        <v>1.3</v>
      </c>
      <c r="J11" s="20">
        <v>1.7</v>
      </c>
      <c r="K11" s="20">
        <v>0.87</v>
      </c>
      <c r="L11" s="20">
        <v>1.05</v>
      </c>
      <c r="M11" s="26"/>
      <c r="N11" s="26"/>
      <c r="O11" s="26"/>
      <c r="P11" s="20"/>
      <c r="Q11" s="20"/>
    </row>
    <row r="12">
      <c r="A12" s="19" t="s">
        <v>297</v>
      </c>
      <c r="B12" s="19">
        <v>1972.0</v>
      </c>
      <c r="C12" s="19">
        <v>0.8</v>
      </c>
      <c r="D12" s="19">
        <v>1.15</v>
      </c>
      <c r="E12" s="19">
        <v>1.15</v>
      </c>
      <c r="F12" s="19">
        <v>1.15</v>
      </c>
      <c r="G12" s="19">
        <v>32.0</v>
      </c>
      <c r="H12" s="19">
        <v>1.05</v>
      </c>
      <c r="I12" s="19">
        <v>1.9</v>
      </c>
      <c r="J12" s="19">
        <v>1.3</v>
      </c>
      <c r="K12" s="19">
        <v>0.87</v>
      </c>
      <c r="L12" s="19">
        <v>1.05</v>
      </c>
      <c r="O12" s="19"/>
      <c r="P12" s="19"/>
      <c r="Q12" s="19"/>
    </row>
    <row r="13">
      <c r="A13" s="20" t="s">
        <v>299</v>
      </c>
      <c r="B13" s="20">
        <v>1992.0</v>
      </c>
      <c r="C13" s="20">
        <v>0.85</v>
      </c>
      <c r="D13" s="20">
        <v>1.2</v>
      </c>
      <c r="E13" s="20">
        <v>1.2</v>
      </c>
      <c r="F13" s="20">
        <v>1.2</v>
      </c>
      <c r="G13" s="20">
        <v>40.0</v>
      </c>
      <c r="H13" s="20">
        <v>1.05</v>
      </c>
      <c r="I13" s="20">
        <v>1.4</v>
      </c>
      <c r="J13" s="20">
        <v>1.85</v>
      </c>
      <c r="K13" s="20">
        <v>0.85</v>
      </c>
      <c r="L13" s="20">
        <v>1.05</v>
      </c>
      <c r="O13" s="20"/>
      <c r="P13" s="20"/>
      <c r="Q13" s="20"/>
    </row>
    <row r="14">
      <c r="A14" s="19" t="s">
        <v>301</v>
      </c>
      <c r="B14" s="19">
        <v>1992.0</v>
      </c>
      <c r="C14" s="19">
        <v>1.0</v>
      </c>
      <c r="D14" s="19">
        <v>1.2</v>
      </c>
      <c r="E14" s="19">
        <v>1.2</v>
      </c>
      <c r="F14" s="19">
        <v>1.2</v>
      </c>
      <c r="G14" s="19">
        <v>40.0</v>
      </c>
      <c r="H14" s="19">
        <v>1.05</v>
      </c>
      <c r="I14" s="19">
        <v>2.2</v>
      </c>
      <c r="J14" s="19">
        <v>1.45</v>
      </c>
      <c r="K14" s="19">
        <v>0.85</v>
      </c>
      <c r="L14" s="19">
        <v>1.05</v>
      </c>
      <c r="O14" s="19"/>
      <c r="P14" s="19"/>
      <c r="Q14" s="19"/>
    </row>
    <row r="15">
      <c r="A15" s="20" t="s">
        <v>302</v>
      </c>
      <c r="B15" s="20">
        <v>1962.0</v>
      </c>
      <c r="C15" s="20">
        <v>2.5</v>
      </c>
      <c r="D15" s="20">
        <v>1.75</v>
      </c>
      <c r="E15" s="20">
        <v>1.5</v>
      </c>
      <c r="F15" s="20">
        <v>2.15</v>
      </c>
      <c r="G15" s="20">
        <v>45.0</v>
      </c>
      <c r="H15" s="20">
        <v>1.3</v>
      </c>
      <c r="I15" s="20">
        <v>2.1</v>
      </c>
      <c r="J15" s="20">
        <v>1.25</v>
      </c>
      <c r="K15" s="20">
        <v>0.75</v>
      </c>
      <c r="L15" s="20">
        <v>1.1</v>
      </c>
      <c r="O15" s="20"/>
      <c r="P15" s="20"/>
      <c r="Q15" s="20"/>
    </row>
    <row r="16">
      <c r="A16" s="19" t="s">
        <v>303</v>
      </c>
      <c r="B16" s="19">
        <v>1975.0</v>
      </c>
      <c r="C16" s="19">
        <v>1.1</v>
      </c>
      <c r="D16" s="19">
        <v>1.35</v>
      </c>
      <c r="E16" s="19">
        <v>1.3</v>
      </c>
      <c r="F16" s="19">
        <v>1.32</v>
      </c>
      <c r="G16" s="19">
        <v>20.0</v>
      </c>
      <c r="H16" s="19">
        <v>1.15</v>
      </c>
      <c r="I16" s="19">
        <v>1.8</v>
      </c>
      <c r="J16" s="19">
        <v>1.25</v>
      </c>
      <c r="K16" s="19">
        <v>0.9</v>
      </c>
      <c r="L16" s="19">
        <v>1.1</v>
      </c>
    </row>
    <row r="17">
      <c r="A17" s="26" t="s">
        <v>304</v>
      </c>
      <c r="B17" s="26">
        <v>1932.0</v>
      </c>
      <c r="C17" s="26">
        <v>1.45</v>
      </c>
      <c r="D17" s="26">
        <v>1.35</v>
      </c>
      <c r="E17" s="26">
        <v>1.3</v>
      </c>
      <c r="F17" s="26">
        <v>1.2</v>
      </c>
      <c r="G17" s="26">
        <v>25.0</v>
      </c>
      <c r="H17" s="26">
        <v>1.1</v>
      </c>
      <c r="I17" s="20">
        <v>1.4</v>
      </c>
      <c r="J17" s="20">
        <v>1.05</v>
      </c>
      <c r="K17" s="20">
        <v>1.0</v>
      </c>
      <c r="L17" s="20">
        <v>1.3</v>
      </c>
      <c r="M17" s="32"/>
    </row>
    <row r="18">
      <c r="A18" s="26"/>
      <c r="B18" s="26"/>
      <c r="C18" s="26"/>
      <c r="D18" s="26"/>
      <c r="E18" s="26"/>
      <c r="F18" s="26"/>
      <c r="G18" s="26"/>
      <c r="H18" s="26"/>
      <c r="I18" s="19"/>
      <c r="J18" s="19"/>
      <c r="K18" s="19"/>
      <c r="L18" s="32"/>
      <c r="M18" s="32"/>
    </row>
    <row r="19">
      <c r="L19" s="32"/>
    </row>
  </sheetData>
  <drawing r:id="rId1"/>
</worksheet>
</file>